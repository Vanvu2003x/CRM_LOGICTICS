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dmin\Documents\LP\BÁO GIÁ\"/>
    </mc:Choice>
  </mc:AlternateContent>
  <xr:revisionPtr revIDLastSave="0" documentId="13_ncr:1_{99B75BFF-5FDF-4DCD-A2BA-E11B4E99C322}" xr6:coauthVersionLast="47" xr6:coauthVersionMax="47" xr10:uidLastSave="{00000000-0000-0000-0000-000000000000}"/>
  <bookViews>
    <workbookView xWindow="-48" yWindow="-48" windowWidth="23136" windowHeight="12456" xr2:uid="{02790C18-B14B-427C-AAA2-3CA78FD8B306}"/>
  </bookViews>
  <sheets>
    <sheet name="EXW" sheetId="4" r:id="rId1"/>
    <sheet name="FCA" sheetId="1" r:id="rId2"/>
    <sheet name="FOB" sheetId="2" r:id="rId3"/>
    <sheet name="EXW Tiếng Trung" sheetId="3" r:id="rId4"/>
  </sheets>
  <externalReferences>
    <externalReference r:id="rId5"/>
  </externalReferences>
  <definedNames>
    <definedName name="_xlnm.Print_Area" localSheetId="0">EXW!$A$1:$J$55</definedName>
    <definedName name="_xlnm.Print_Area" localSheetId="3">'EXW Tiếng Trung'!$A$1:$J$55</definedName>
    <definedName name="_xlnm.Print_Area" localSheetId="1">FCA!$A$1:$J$55</definedName>
    <definedName name="_xlnm.Print_Area" localSheetId="2">FOB!$A$1:$J$47</definedName>
    <definedName name="Sheet2">#REF!</definedName>
    <definedName name="Sheet31">[1]Sheet3!$A$5:$A$9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" i="4" l="1"/>
  <c r="H29" i="4" s="1"/>
  <c r="G22" i="4"/>
  <c r="H22" i="4" s="1"/>
  <c r="G25" i="4"/>
  <c r="H25" i="4" s="1"/>
  <c r="G24" i="4"/>
  <c r="H24" i="4" s="1"/>
  <c r="G26" i="4" l="1"/>
  <c r="H26" i="4" s="1"/>
  <c r="C29" i="4"/>
  <c r="G26" i="1"/>
  <c r="H26" i="1" s="1"/>
  <c r="G25" i="1"/>
  <c r="G21" i="1"/>
  <c r="H21" i="1" s="1"/>
  <c r="G23" i="1"/>
  <c r="H23" i="1" s="1"/>
  <c r="G22" i="1"/>
  <c r="H22" i="1" s="1"/>
  <c r="G23" i="4"/>
  <c r="H23" i="4" s="1"/>
  <c r="G21" i="4"/>
  <c r="H21" i="4" s="1"/>
  <c r="C35" i="4"/>
  <c r="G35" i="4" s="1"/>
  <c r="H35" i="4" s="1"/>
  <c r="G34" i="4"/>
  <c r="H34" i="4" s="1"/>
  <c r="G33" i="4"/>
  <c r="H33" i="4" s="1"/>
  <c r="C31" i="4"/>
  <c r="G31" i="4" s="1"/>
  <c r="H31" i="4" s="1"/>
  <c r="G18" i="4"/>
  <c r="H18" i="4" s="1"/>
  <c r="C30" i="4" l="1"/>
  <c r="C32" i="4" s="1"/>
  <c r="G32" i="4" s="1"/>
  <c r="H32" i="4" s="1"/>
  <c r="C35" i="3"/>
  <c r="G35" i="3" s="1"/>
  <c r="H35" i="3" s="1"/>
  <c r="G34" i="3"/>
  <c r="H34" i="3" s="1"/>
  <c r="G33" i="3"/>
  <c r="H33" i="3" s="1"/>
  <c r="G32" i="3"/>
  <c r="H32" i="3" s="1"/>
  <c r="C29" i="3"/>
  <c r="G29" i="3" s="1"/>
  <c r="H29" i="3" s="1"/>
  <c r="G26" i="3"/>
  <c r="H26" i="3" s="1"/>
  <c r="G25" i="3"/>
  <c r="H25" i="3" s="1"/>
  <c r="G24" i="3"/>
  <c r="H24" i="3" s="1"/>
  <c r="C23" i="3"/>
  <c r="G23" i="3" s="1"/>
  <c r="H23" i="3" s="1"/>
  <c r="C22" i="3"/>
  <c r="G22" i="3" s="1"/>
  <c r="H22" i="3" s="1"/>
  <c r="G21" i="3"/>
  <c r="H21" i="3" s="1"/>
  <c r="C20" i="3"/>
  <c r="G20" i="3" s="1"/>
  <c r="G17" i="3"/>
  <c r="H17" i="3" s="1"/>
  <c r="C27" i="2"/>
  <c r="G27" i="2" s="1"/>
  <c r="H27" i="2" s="1"/>
  <c r="G26" i="2"/>
  <c r="G25" i="2"/>
  <c r="H25" i="2" s="1"/>
  <c r="C23" i="2"/>
  <c r="G23" i="2" s="1"/>
  <c r="H23" i="2" s="1"/>
  <c r="C21" i="2"/>
  <c r="C22" i="2" s="1"/>
  <c r="G18" i="2"/>
  <c r="G24" i="1"/>
  <c r="H24" i="1" s="1"/>
  <c r="H25" i="1"/>
  <c r="C35" i="1"/>
  <c r="G35" i="1" s="1"/>
  <c r="H35" i="1" s="1"/>
  <c r="C31" i="1"/>
  <c r="G34" i="1"/>
  <c r="H34" i="1" s="1"/>
  <c r="G33" i="1"/>
  <c r="H33" i="1" s="1"/>
  <c r="C29" i="1"/>
  <c r="G29" i="1" s="1"/>
  <c r="H29" i="1" s="1"/>
  <c r="G18" i="1"/>
  <c r="H18" i="1" l="1"/>
  <c r="H37" i="1" s="1"/>
  <c r="G37" i="1"/>
  <c r="H18" i="2"/>
  <c r="G30" i="4"/>
  <c r="H30" i="4" s="1"/>
  <c r="C30" i="3"/>
  <c r="G30" i="3" s="1"/>
  <c r="H30" i="3" s="1"/>
  <c r="C31" i="3"/>
  <c r="G31" i="3" s="1"/>
  <c r="H31" i="3" s="1"/>
  <c r="G37" i="3"/>
  <c r="H20" i="3"/>
  <c r="H37" i="3" s="1"/>
  <c r="G22" i="2"/>
  <c r="H22" i="2" s="1"/>
  <c r="C24" i="2"/>
  <c r="G24" i="2" s="1"/>
  <c r="G21" i="2"/>
  <c r="H21" i="2" s="1"/>
  <c r="C30" i="1"/>
  <c r="C32" i="1" s="1"/>
  <c r="G32" i="1" s="1"/>
  <c r="H37" i="4" l="1"/>
  <c r="G37" i="4"/>
  <c r="G29" i="2"/>
  <c r="H29" i="2"/>
  <c r="G30" i="1"/>
  <c r="H30" i="1" s="1"/>
  <c r="G31" i="1"/>
  <c r="H31" i="1" s="1"/>
</calcChain>
</file>

<file path=xl/sharedStrings.xml><?xml version="1.0" encoding="utf-8"?>
<sst xmlns="http://schemas.openxmlformats.org/spreadsheetml/2006/main" count="293" uniqueCount="165">
  <si>
    <t xml:space="preserve">  7th Floor, No. 40 Tang Thiet Giap Street, Co Nhue 2 Ward, Bac Tu Liem District, Hanoi City, Vietnam</t>
  </si>
  <si>
    <t>WEBSITE: lpinternationallogistics.com</t>
  </si>
  <si>
    <t>Tel: + 84 852 502 027             Email: Sales@lplogandtrade.com</t>
  </si>
  <si>
    <t>BÁO GIÁ VẬN CHUYỂN</t>
  </si>
  <si>
    <t>Attention:</t>
  </si>
  <si>
    <t>Company:</t>
  </si>
  <si>
    <t>1, Cước vận chuyển quốc tế</t>
  </si>
  <si>
    <t>Cảng xếp</t>
  </si>
  <si>
    <t>Cảng hạ</t>
  </si>
  <si>
    <t>Vol</t>
  </si>
  <si>
    <t xml:space="preserve">Đơn vị tính </t>
  </si>
  <si>
    <t>Đơn giá
(USD)</t>
  </si>
  <si>
    <t>Thành tiền
(USD)</t>
  </si>
  <si>
    <t xml:space="preserve">Đơn giá VND
(Đã VAT) </t>
  </si>
  <si>
    <t>Số ngày đi tàu</t>
  </si>
  <si>
    <t xml:space="preserve">Lưu ý khác </t>
  </si>
  <si>
    <t>3, Các chi phí tại Việt Nam</t>
  </si>
  <si>
    <t>Phí cầu cảng (THC)</t>
  </si>
  <si>
    <t>Phí cân bằng hàng nhập (CIC)</t>
  </si>
  <si>
    <t>Phí lấy lệnh giao hàng</t>
  </si>
  <si>
    <t>lô</t>
  </si>
  <si>
    <t>Phí làm thủ tục HQ</t>
  </si>
  <si>
    <t>tờ khai</t>
  </si>
  <si>
    <t xml:space="preserve">Tổng chi phí: </t>
  </si>
  <si>
    <t xml:space="preserve">Lưu ý: </t>
  </si>
  <si>
    <t>1, Áp dụng cho hàng hóa thông thường</t>
  </si>
  <si>
    <t xml:space="preserve">2, Không bao gồm các chi phí như: bảo hiểm, lưu cont, lưu bãi và các loại phí phát sinh. </t>
  </si>
  <si>
    <t xml:space="preserve">3, Giá ĐÃ bao gồm VAT 8% cho các chi phí tại Việt Nam và chưa gồm phí kho hàng. </t>
  </si>
  <si>
    <t>5, Hiệu lực giá cho tới khi có thông báo mới</t>
  </si>
  <si>
    <t>XÁC NHẬN BÁO GIÁ CỦA KHÁCH HÀNG</t>
  </si>
  <si>
    <t xml:space="preserve">( Ký tên và đóng dấu) </t>
  </si>
  <si>
    <t>( Ký tên và đóng dấu)</t>
  </si>
  <si>
    <t>………………………………………….</t>
  </si>
  <si>
    <t>--- Thank you for business---</t>
  </si>
  <si>
    <t>LP INTERNATIONAL LOGISTICS AND TRADING COMPANY LIMITED</t>
  </si>
  <si>
    <t>40HQ</t>
  </si>
  <si>
    <t>cont</t>
  </si>
  <si>
    <t>Cont</t>
  </si>
  <si>
    <t>Phí vệ sinh cont</t>
  </si>
  <si>
    <t>Phí CSHT</t>
  </si>
  <si>
    <t>CÔNG TY TNHH TIẾP VẬN VÀ THƯƠNG MẠI QUỐC TẾ LP</t>
  </si>
  <si>
    <t xml:space="preserve">Hiệu lực giá </t>
  </si>
  <si>
    <t xml:space="preserve">Đơn giá VND
(Chưa VAT) </t>
  </si>
  <si>
    <t>报价单  </t>
  </si>
  <si>
    <t>客户：</t>
  </si>
  <si>
    <t>根据收到的信息，我们想向您和贵公司发送以下服务报价：</t>
  </si>
  <si>
    <t>装货港</t>
  </si>
  <si>
    <t>卸货港</t>
  </si>
  <si>
    <t>2,起运港的港杂费</t>
  </si>
  <si>
    <t>1, 海运费</t>
  </si>
  <si>
    <t>海防，越南</t>
  </si>
  <si>
    <t>工厂到港口的拖车费</t>
  </si>
  <si>
    <t>报关费</t>
  </si>
  <si>
    <t>THC</t>
  </si>
  <si>
    <t>SEAL + MNF + VGM</t>
  </si>
  <si>
    <t>原产地证</t>
  </si>
  <si>
    <t>文件费</t>
  </si>
  <si>
    <t>Telex</t>
  </si>
  <si>
    <t>CIC</t>
  </si>
  <si>
    <t>换单费</t>
  </si>
  <si>
    <t>小费</t>
  </si>
  <si>
    <t>进口报关费</t>
  </si>
  <si>
    <t>送货费+ 仓储费</t>
  </si>
  <si>
    <t>建设费</t>
  </si>
  <si>
    <t>3, 目的港的港杂费</t>
  </si>
  <si>
    <t xml:space="preserve">总共: </t>
  </si>
  <si>
    <t>公司名称  ：</t>
  </si>
  <si>
    <t>客户确认报价</t>
  </si>
  <si>
    <t>5, 价格有效期至另行通知</t>
  </si>
  <si>
    <t>效期</t>
  </si>
  <si>
    <t>运输时间</t>
  </si>
  <si>
    <t>运输时间：3-4 日</t>
  </si>
  <si>
    <t>单价
(USD)</t>
  </si>
  <si>
    <t>单位</t>
  </si>
  <si>
    <t>卷</t>
  </si>
  <si>
    <t>费用
(USD)</t>
  </si>
  <si>
    <t xml:space="preserve">备注 </t>
  </si>
  <si>
    <t>备注</t>
  </si>
  <si>
    <t>Shipment</t>
  </si>
  <si>
    <t>1, 适用于一般商品</t>
  </si>
  <si>
    <t>2, 不包括诸如：保险费、集装箱仓储费、堆场仓储费及其他产生的费用。</t>
  </si>
  <si>
    <t>3, 价格包含越南成本 8% VAT，但不包含仓储费。</t>
  </si>
  <si>
    <t>现在还没有正确地址</t>
  </si>
  <si>
    <t xml:space="preserve">费用 VND
(有VAT) </t>
  </si>
  <si>
    <t>(Chưa bao gồm kiểm hoá)</t>
  </si>
  <si>
    <t>Hải Phòng, 
Việt Nam</t>
  </si>
  <si>
    <t>Hiệu lực giá</t>
  </si>
  <si>
    <t>4, Tỉ giá theo tỷ giá ngân hàng VCB ngày xuất hoá đơn (Tạm tính 1USD = 26,600 VND)</t>
  </si>
  <si>
    <t>LINE</t>
  </si>
  <si>
    <t>Phí chứng từ</t>
  </si>
  <si>
    <t>Dự kiến, Chưa bao gồm đường cấm</t>
  </si>
  <si>
    <t>2, Các chi phí tại Việt Nam</t>
  </si>
  <si>
    <t xml:space="preserve">3, Giá chưa bao gồm VAT 8% cho các chi phí tại Việt Nam và chưa gồm phí kho hàng. </t>
  </si>
  <si>
    <t>Document Fee</t>
  </si>
  <si>
    <t>Customs Clearance</t>
  </si>
  <si>
    <t>Phí làm C.O</t>
  </si>
  <si>
    <t>Lô</t>
  </si>
  <si>
    <t>(Chưa bao gồm đường cấm)</t>
  </si>
  <si>
    <t>40HC</t>
  </si>
  <si>
    <r>
      <t xml:space="preserve">WEBSITE: </t>
    </r>
    <r>
      <rPr>
        <b/>
        <i/>
        <u/>
        <sz val="14"/>
        <color theme="1"/>
        <rFont val="Times New Roman"/>
        <family val="1"/>
      </rPr>
      <t>lpinternationallogistics.com</t>
    </r>
  </si>
  <si>
    <t>Phí giao hàng về kho Hà Nội (Đã bao gồm nâng hạ)</t>
  </si>
  <si>
    <t>250</t>
  </si>
  <si>
    <t>VGM + Seal Fee</t>
  </si>
  <si>
    <t>(Nếu cần)</t>
  </si>
  <si>
    <t>Qingdao,
China</t>
  </si>
  <si>
    <t>20DC</t>
  </si>
  <si>
    <t xml:space="preserve">(Ngày 01 tháng 11 năm 2025) </t>
  </si>
  <si>
    <t>Mr. Bình</t>
  </si>
  <si>
    <t>Hà Nội, Ngày 01 tháng 11 năm 2025</t>
  </si>
  <si>
    <t xml:space="preserve">Dựa trên các thông tin nhận được, chúng tôi xin được gửi tới Anh Bình và Quý Công ty báo giá dịch vụ như sau: </t>
  </si>
  <si>
    <t>FCA QINGDAO - HÀ NỘI - 1 CONT 20</t>
  </si>
  <si>
    <t>Hiệu lực giá: 30.NOV</t>
  </si>
  <si>
    <t>Mr. Linh</t>
  </si>
  <si>
    <t xml:space="preserve">Dựa trên các thông tin nhận được, chúng tôi xin được gửi tới Anh Linh và Quý Công ty báo giá dịch vụ như sau: </t>
  </si>
  <si>
    <t>2,Các chi phí tại China (Chưa tính chi phí đóng cont lấy hàng tại nhà máy</t>
  </si>
  <si>
    <t>30.NOV</t>
  </si>
  <si>
    <t>TG tàu chạy</t>
  </si>
  <si>
    <t>6-8 days</t>
  </si>
  <si>
    <t>Hà Nội, Ngày 19 tháng 11 năm 2025</t>
  </si>
  <si>
    <t>Tel: + 84 852 502 027                                        Email: Sales@lplogandtrade.com</t>
  </si>
  <si>
    <t>Incheon,
Korea</t>
  </si>
  <si>
    <t>1450</t>
  </si>
  <si>
    <t>15.DEC</t>
  </si>
  <si>
    <t>Phí giao hàng về kho Bắc Ninh (Đã bao gồm nâng hạ tại cảng)</t>
  </si>
  <si>
    <t>5-7 days</t>
  </si>
  <si>
    <t>T/T: khoảng 5-7 ngày</t>
  </si>
  <si>
    <t>Chưa bao gồm kiểm hoá</t>
  </si>
  <si>
    <t>FOB INCHEON - BẮC NINH 1 CONT 40</t>
  </si>
  <si>
    <t>Phí THC</t>
  </si>
  <si>
    <t>Phí khai báo hải quan</t>
  </si>
  <si>
    <t>Phí SEAL + MNF + VGM</t>
  </si>
  <si>
    <t>Phí telex vận đơn</t>
  </si>
  <si>
    <t>馅总</t>
  </si>
  <si>
    <t>LP 谨向 馅总和贵公司致以最诚挚的问候。</t>
  </si>
  <si>
    <t>青岛 ，中国</t>
  </si>
  <si>
    <t>没发票 </t>
  </si>
  <si>
    <t>4, 汇率按照发票日越南商业银行（VCB）的汇率计算（暂估1美元=26,500越南盾）</t>
  </si>
  <si>
    <t xml:space="preserve">(2026年3月09号) </t>
  </si>
  <si>
    <t>河内，2026年3月09号</t>
  </si>
  <si>
    <t>Tel: + 84 852 502 027             Email: Sales@lpinternationalogistics.com</t>
  </si>
  <si>
    <t>8-10</t>
  </si>
  <si>
    <t>EXW 青岛 - 海防</t>
  </si>
  <si>
    <t>750</t>
  </si>
  <si>
    <t>31.MAR</t>
  </si>
  <si>
    <t xml:space="preserve">LP xin được gửi lời chào trân trọng tới Anh Linh và Công Ty </t>
  </si>
  <si>
    <t xml:space="preserve">LP xin được gửi lời chào trân trọng tới Anh Bình và Công Ty </t>
  </si>
  <si>
    <t>(Nộp thay khách hàng)</t>
  </si>
  <si>
    <t>(Dự kiến, chưa bao gồm đường cấm)</t>
  </si>
  <si>
    <t>4, Tỉ giá theo tỷ giá ngân hàng VCB ngày xuất hoá đơn (Tạm tính: 1 USD = 26,500 VND)</t>
  </si>
  <si>
    <t>Tel: + 84 852 502 027                             Email: Sales@lpinternationallogistics.com</t>
  </si>
  <si>
    <t>Phí giao hàng về kho Phước Tân (Đã bao gồm nâng hạ tại cảng)</t>
  </si>
  <si>
    <t>Ms. Thu</t>
  </si>
  <si>
    <t xml:space="preserve">Dựa trên các thông tin nhận được, chúng tôi xin được gửi tới Chị Thu và Quý Công ty báo giá dịch vụ như sau: </t>
  </si>
  <si>
    <t xml:space="preserve">(Ngày 11 tháng 08 năm 2026) </t>
  </si>
  <si>
    <t>Hà Nội, Ngày 11 tháng 08 năm 2026</t>
  </si>
  <si>
    <t>Tanjung Pelepas,
Malaysia</t>
  </si>
  <si>
    <t>Haiphong, 
Việt Nam</t>
  </si>
  <si>
    <t>40OT</t>
  </si>
  <si>
    <t>1200</t>
  </si>
  <si>
    <t>HPL</t>
  </si>
  <si>
    <t>15.OCT</t>
  </si>
  <si>
    <t>Phí Pickup</t>
  </si>
  <si>
    <t>EXW 2x40OT TANJUNG TO HUNG YEN</t>
  </si>
  <si>
    <t>2,Các chi phí tại Malaysia</t>
  </si>
  <si>
    <t xml:space="preserve">LP xin được gửi lời chào trân trọng tới Chị Thu và Công 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</si>
</sst>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  <numFmt numFmtId="166" formatCode="_(* #,##0.000_);_(* \(#,##0.000\);_(* &quot;-&quot;?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Wide Lati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name val="Times New Roman"/>
      <family val="1"/>
    </font>
    <font>
      <b/>
      <sz val="11"/>
      <color theme="0"/>
      <name val="Times New Roman"/>
      <family val="1"/>
    </font>
    <font>
      <b/>
      <i/>
      <u/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b/>
      <i/>
      <sz val="8"/>
      <name val="Times New Roman"/>
      <family val="1"/>
    </font>
    <font>
      <sz val="12"/>
      <name val="Times New Roman"/>
      <family val="1"/>
    </font>
    <font>
      <sz val="12"/>
      <color rgb="FF003399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rgb="FF003399"/>
      <name val="Times New Roman"/>
      <family val="1"/>
    </font>
    <font>
      <sz val="11"/>
      <color rgb="FF003399"/>
      <name val="Times New Roman"/>
      <family val="1"/>
    </font>
    <font>
      <i/>
      <sz val="11"/>
      <color rgb="FF000099"/>
      <name val="Times New Roman"/>
      <family val="1"/>
    </font>
    <font>
      <b/>
      <sz val="14"/>
      <color theme="1"/>
      <name val="Times New Roman"/>
      <family val="1"/>
    </font>
    <font>
      <b/>
      <i/>
      <u/>
      <sz val="14"/>
      <color theme="1"/>
      <name val="Times New Roman"/>
      <family val="1"/>
    </font>
    <font>
      <b/>
      <u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43" fontId="3" fillId="0" borderId="0" xfId="1" applyFont="1" applyAlignment="1" applyProtection="1">
      <alignment horizontal="center"/>
      <protection locked="0"/>
    </xf>
    <xf numFmtId="43" fontId="3" fillId="0" borderId="0" xfId="1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43" fontId="8" fillId="0" borderId="0" xfId="1" applyFont="1" applyFill="1" applyBorder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43" fontId="3" fillId="0" borderId="2" xfId="1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43" fontId="3" fillId="0" borderId="0" xfId="0" applyNumberFormat="1" applyFont="1" applyProtection="1">
      <protection locked="0"/>
    </xf>
    <xf numFmtId="164" fontId="9" fillId="0" borderId="2" xfId="1" applyNumberFormat="1" applyFont="1" applyBorder="1" applyAlignment="1" applyProtection="1">
      <alignment vertical="center" wrapText="1"/>
      <protection locked="0"/>
    </xf>
    <xf numFmtId="49" fontId="3" fillId="0" borderId="3" xfId="1" applyNumberFormat="1" applyFont="1" applyBorder="1" applyAlignment="1" applyProtection="1">
      <alignment horizontal="center" vertical="center" wrapText="1"/>
      <protection locked="0"/>
    </xf>
    <xf numFmtId="165" fontId="3" fillId="0" borderId="3" xfId="1" applyNumberFormat="1" applyFont="1" applyBorder="1" applyAlignment="1" applyProtection="1">
      <alignment horizontal="center" vertical="center" wrapText="1"/>
      <protection locked="0"/>
    </xf>
    <xf numFmtId="49" fontId="3" fillId="0" borderId="2" xfId="1" applyNumberFormat="1" applyFont="1" applyBorder="1" applyAlignment="1" applyProtection="1">
      <alignment horizontal="center" vertical="center" wrapText="1"/>
      <protection locked="0"/>
    </xf>
    <xf numFmtId="165" fontId="3" fillId="0" borderId="0" xfId="1" applyNumberFormat="1" applyFont="1" applyProtection="1"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43" fontId="3" fillId="0" borderId="0" xfId="1" applyFont="1" applyBorder="1" applyAlignment="1" applyProtection="1">
      <alignment vertical="center" wrapText="1"/>
      <protection locked="0"/>
    </xf>
    <xf numFmtId="43" fontId="3" fillId="0" borderId="0" xfId="1" applyFont="1" applyBorder="1" applyAlignment="1" applyProtection="1">
      <alignment horizontal="center" vertical="center" wrapText="1"/>
      <protection locked="0"/>
    </xf>
    <xf numFmtId="49" fontId="3" fillId="0" borderId="0" xfId="1" applyNumberFormat="1" applyFont="1" applyBorder="1" applyAlignment="1" applyProtection="1">
      <alignment horizontal="center" vertical="center" wrapText="1"/>
      <protection locked="0"/>
    </xf>
    <xf numFmtId="43" fontId="3" fillId="0" borderId="2" xfId="1" applyFont="1" applyBorder="1" applyAlignment="1" applyProtection="1">
      <alignment vertical="center" wrapText="1"/>
      <protection locked="0"/>
    </xf>
    <xf numFmtId="43" fontId="3" fillId="0" borderId="3" xfId="1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43" fontId="9" fillId="0" borderId="2" xfId="1" applyFont="1" applyBorder="1" applyAlignment="1" applyProtection="1">
      <alignment vertical="center" wrapText="1"/>
      <protection locked="0"/>
    </xf>
    <xf numFmtId="0" fontId="10" fillId="2" borderId="0" xfId="0" applyFont="1" applyFill="1" applyAlignment="1" applyProtection="1">
      <alignment horizontal="center" vertical="center"/>
      <protection locked="0"/>
    </xf>
    <xf numFmtId="43" fontId="10" fillId="2" borderId="0" xfId="1" applyFont="1" applyFill="1" applyBorder="1" applyAlignment="1" applyProtection="1">
      <alignment horizontal="center" vertical="center"/>
      <protection locked="0"/>
    </xf>
    <xf numFmtId="165" fontId="10" fillId="2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/>
      <protection locked="0"/>
    </xf>
    <xf numFmtId="165" fontId="3" fillId="0" borderId="0" xfId="1" applyNumberFormat="1" applyFont="1" applyBorder="1" applyAlignment="1" applyProtection="1">
      <alignment horizontal="center" vertical="center" wrapText="1"/>
      <protection locked="0"/>
    </xf>
    <xf numFmtId="0" fontId="12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5" fillId="0" borderId="0" xfId="0" applyFont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19" fillId="0" borderId="0" xfId="2" applyFont="1" applyProtection="1">
      <protection locked="0"/>
    </xf>
    <xf numFmtId="0" fontId="20" fillId="0" borderId="0" xfId="0" applyFont="1" applyProtection="1">
      <protection locked="0"/>
    </xf>
    <xf numFmtId="43" fontId="2" fillId="0" borderId="0" xfId="1" applyFont="1" applyProtection="1">
      <protection locked="0"/>
    </xf>
    <xf numFmtId="43" fontId="9" fillId="0" borderId="2" xfId="1" applyFont="1" applyFill="1" applyBorder="1" applyAlignment="1" applyProtection="1">
      <alignment vertical="center" wrapText="1"/>
      <protection locked="0"/>
    </xf>
    <xf numFmtId="0" fontId="9" fillId="0" borderId="2" xfId="0" applyFont="1" applyBorder="1" applyAlignment="1" applyProtection="1">
      <alignment horizontal="center" vertical="center" wrapText="1"/>
      <protection locked="0"/>
    </xf>
    <xf numFmtId="43" fontId="9" fillId="0" borderId="3" xfId="1" applyFont="1" applyFill="1" applyBorder="1" applyAlignment="1" applyProtection="1">
      <alignment horizontal="center" vertical="center" wrapText="1"/>
      <protection locked="0"/>
    </xf>
    <xf numFmtId="49" fontId="10" fillId="2" borderId="0" xfId="1" applyNumberFormat="1" applyFont="1" applyFill="1" applyBorder="1" applyAlignment="1" applyProtection="1">
      <alignment horizontal="center" vertical="center"/>
      <protection locked="0"/>
    </xf>
    <xf numFmtId="166" fontId="0" fillId="0" borderId="0" xfId="0" applyNumberFormat="1"/>
    <xf numFmtId="43" fontId="3" fillId="0" borderId="3" xfId="1" applyFont="1" applyFill="1" applyBorder="1" applyAlignment="1" applyProtection="1">
      <alignment horizontal="center" vertical="center" wrapText="1"/>
      <protection locked="0"/>
    </xf>
    <xf numFmtId="43" fontId="3" fillId="0" borderId="2" xfId="1" applyFont="1" applyFill="1" applyBorder="1" applyAlignment="1" applyProtection="1">
      <alignment horizontal="center" vertical="center" wrapText="1"/>
      <protection locked="0"/>
    </xf>
    <xf numFmtId="165" fontId="3" fillId="0" borderId="3" xfId="1" applyNumberFormat="1" applyFont="1" applyFill="1" applyBorder="1" applyAlignment="1" applyProtection="1">
      <alignment horizontal="center" vertical="center" wrapText="1"/>
      <protection locked="0"/>
    </xf>
    <xf numFmtId="43" fontId="3" fillId="0" borderId="2" xfId="1" applyFont="1" applyFill="1" applyBorder="1" applyAlignment="1" applyProtection="1">
      <alignment vertical="center" wrapText="1"/>
      <protection locked="0"/>
    </xf>
    <xf numFmtId="43" fontId="9" fillId="0" borderId="0" xfId="1" applyFont="1" applyFill="1" applyProtection="1"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43" fontId="6" fillId="0" borderId="2" xfId="1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vertical="center" wrapText="1"/>
      <protection locked="0"/>
    </xf>
    <xf numFmtId="0" fontId="3" fillId="0" borderId="4" xfId="0" applyFont="1" applyBorder="1" applyAlignment="1" applyProtection="1">
      <alignment vertical="center" wrapText="1"/>
      <protection locked="0"/>
    </xf>
    <xf numFmtId="43" fontId="3" fillId="0" borderId="3" xfId="1" applyFont="1" applyBorder="1" applyAlignment="1" applyProtection="1">
      <alignment horizontal="center" vertical="center" wrapText="1"/>
      <protection locked="0"/>
    </xf>
    <xf numFmtId="43" fontId="3" fillId="0" borderId="4" xfId="1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49" fontId="21" fillId="0" borderId="0" xfId="0" applyNumberFormat="1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 vertical="top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43" fontId="3" fillId="0" borderId="3" xfId="1" applyFont="1" applyFill="1" applyBorder="1" applyAlignment="1" applyProtection="1">
      <alignment horizontal="center" vertical="center" wrapText="1"/>
      <protection locked="0"/>
    </xf>
    <xf numFmtId="43" fontId="3" fillId="0" borderId="5" xfId="1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43" fontId="3" fillId="0" borderId="4" xfId="1" applyFont="1" applyFill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 applyProtection="1">
      <alignment vertical="center" wrapText="1"/>
      <protection locked="0"/>
    </xf>
    <xf numFmtId="0" fontId="9" fillId="0" borderId="4" xfId="0" applyFont="1" applyBorder="1" applyAlignment="1" applyProtection="1">
      <alignment vertical="center" wrapText="1"/>
      <protection locked="0"/>
    </xf>
    <xf numFmtId="43" fontId="9" fillId="0" borderId="3" xfId="1" applyFont="1" applyFill="1" applyBorder="1" applyAlignment="1" applyProtection="1">
      <alignment horizontal="center" vertical="center" wrapText="1"/>
      <protection locked="0"/>
    </xf>
    <xf numFmtId="43" fontId="9" fillId="0" borderId="4" xfId="1" applyFont="1" applyFill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  <xf numFmtId="0" fontId="9" fillId="0" borderId="4" xfId="0" applyFont="1" applyBorder="1" applyAlignment="1" applyProtection="1">
      <alignment horizontal="center" vertical="center" wrapText="1"/>
      <protection locked="0"/>
    </xf>
    <xf numFmtId="0" fontId="10" fillId="2" borderId="0" xfId="0" applyFont="1" applyFill="1" applyAlignment="1" applyProtection="1">
      <alignment horizontal="center" vertical="center"/>
      <protection locked="0"/>
    </xf>
    <xf numFmtId="49" fontId="10" fillId="2" borderId="0" xfId="0" applyNumberFormat="1" applyFont="1" applyFill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wrapText="1"/>
      <protection locked="0"/>
    </xf>
    <xf numFmtId="0" fontId="4" fillId="0" borderId="0" xfId="0" applyFont="1" applyAlignment="1" applyProtection="1">
      <alignment horizontal="center" wrapText="1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49" fontId="3" fillId="0" borderId="3" xfId="1" applyNumberFormat="1" applyFont="1" applyBorder="1" applyAlignment="1" applyProtection="1">
      <alignment horizontal="center" vertical="center" wrapText="1"/>
      <protection locked="0"/>
    </xf>
    <xf numFmtId="49" fontId="3" fillId="0" borderId="4" xfId="1" applyNumberFormat="1" applyFont="1" applyBorder="1" applyAlignment="1" applyProtection="1">
      <alignment horizontal="center" vertical="center" wrapText="1"/>
      <protection locked="0"/>
    </xf>
    <xf numFmtId="43" fontId="3" fillId="0" borderId="5" xfId="1" applyFont="1" applyBorder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wrapText="1"/>
      <protection locked="0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0</xdr:row>
      <xdr:rowOff>76200</xdr:rowOff>
    </xdr:from>
    <xdr:to>
      <xdr:col>1</xdr:col>
      <xdr:colOff>30480</xdr:colOff>
      <xdr:row>4</xdr:row>
      <xdr:rowOff>168547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D7BC34-D8D1-4F3B-91C6-EFE58F660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1" y="76200"/>
          <a:ext cx="853439" cy="8848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0</xdr:row>
      <xdr:rowOff>76200</xdr:rowOff>
    </xdr:from>
    <xdr:to>
      <xdr:col>1</xdr:col>
      <xdr:colOff>30480</xdr:colOff>
      <xdr:row>4</xdr:row>
      <xdr:rowOff>168547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CE49C1-6ABA-4046-83D1-694BD1179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1" y="76200"/>
          <a:ext cx="853439" cy="8848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0</xdr:row>
      <xdr:rowOff>76200</xdr:rowOff>
    </xdr:from>
    <xdr:to>
      <xdr:col>1</xdr:col>
      <xdr:colOff>30480</xdr:colOff>
      <xdr:row>4</xdr:row>
      <xdr:rowOff>168547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C06A6E-DBE2-452A-9B66-DF7E87364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1" y="76200"/>
          <a:ext cx="853439" cy="8848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0</xdr:row>
      <xdr:rowOff>76200</xdr:rowOff>
    </xdr:from>
    <xdr:to>
      <xdr:col>1</xdr:col>
      <xdr:colOff>30480</xdr:colOff>
      <xdr:row>4</xdr:row>
      <xdr:rowOff>168547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749C54-D597-49B5-B989-28BCE49BB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1" y="76200"/>
          <a:ext cx="853439" cy="8848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Personal%20data/Rong%20Viet%20Logistics/B&#225;o%20gi&#225;%20kh&#225;ch%20h&#224;ng/Canzy%20Vietnam-%20Melinh%20Jsc/13.4%20Final%20quotation/Ph&#432;&#417;ng%20&#225;n%20kinh%20doanh%20h&#224;ng%20Rongqui%20(%20L&#244;%205-%20cont%2040)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 40 Rongqui"/>
      <sheetName val="Sheet3"/>
      <sheetName val="Sheet4"/>
    </sheetNames>
    <sheetDataSet>
      <sheetData sheetId="0" refreshError="1"/>
      <sheetData sheetId="1">
        <row r="5">
          <cell r="A5" t="str">
            <v>Cont 20</v>
          </cell>
        </row>
        <row r="6">
          <cell r="A6" t="str">
            <v>Cont 40</v>
          </cell>
        </row>
        <row r="7">
          <cell r="A7" t="str">
            <v>CBM</v>
          </cell>
        </row>
        <row r="8">
          <cell r="A8" t="str">
            <v>KGs</v>
          </cell>
        </row>
        <row r="9">
          <cell r="A9" t="str">
            <v xml:space="preserve">Shipment 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A6BC-6D5F-4784-9677-DB49E52410A5}">
  <sheetPr>
    <pageSetUpPr fitToPage="1"/>
  </sheetPr>
  <dimension ref="A1:R60"/>
  <sheetViews>
    <sheetView tabSelected="1" zoomScaleNormal="100" zoomScaleSheetLayoutView="120" workbookViewId="0">
      <selection activeCell="F54" sqref="F54:J54"/>
    </sheetView>
  </sheetViews>
  <sheetFormatPr defaultColWidth="9.109375" defaultRowHeight="15.6" x14ac:dyDescent="0.3"/>
  <cols>
    <col min="1" max="1" width="12.88671875" style="1" customWidth="1"/>
    <col min="2" max="2" width="13.5546875" style="1" customWidth="1"/>
    <col min="3" max="3" width="8.109375" style="40" customWidth="1"/>
    <col min="4" max="4" width="9.109375" style="1" customWidth="1"/>
    <col min="5" max="5" width="7" style="1" customWidth="1"/>
    <col min="6" max="6" width="2.5546875" style="1" customWidth="1"/>
    <col min="7" max="7" width="10.6640625" style="1" customWidth="1"/>
    <col min="8" max="8" width="12.77734375" style="1" customWidth="1"/>
    <col min="9" max="9" width="11.33203125" style="1" customWidth="1"/>
    <col min="10" max="10" width="14.33203125" style="1" customWidth="1"/>
    <col min="11" max="11" width="10.44140625" style="1" bestFit="1" customWidth="1"/>
    <col min="12" max="13" width="14" style="1" bestFit="1" customWidth="1"/>
    <col min="14" max="15" width="14.109375" style="1" bestFit="1" customWidth="1"/>
    <col min="16" max="16384" width="9.109375" style="1"/>
  </cols>
  <sheetData>
    <row r="1" spans="1:10" ht="15.75" customHeight="1" x14ac:dyDescent="0.3">
      <c r="B1" s="80" t="s">
        <v>34</v>
      </c>
      <c r="C1" s="80"/>
      <c r="D1" s="80"/>
      <c r="E1" s="80"/>
      <c r="F1" s="80"/>
      <c r="G1" s="80"/>
      <c r="H1" s="80"/>
      <c r="I1" s="80"/>
      <c r="J1" s="80"/>
    </row>
    <row r="2" spans="1:10" ht="11.4" customHeight="1" x14ac:dyDescent="0.3">
      <c r="B2" s="80"/>
      <c r="C2" s="80"/>
      <c r="D2" s="80"/>
      <c r="E2" s="80"/>
      <c r="F2" s="80"/>
      <c r="G2" s="80"/>
      <c r="H2" s="80"/>
      <c r="I2" s="80"/>
      <c r="J2" s="80"/>
    </row>
    <row r="3" spans="1:10" ht="15.75" customHeight="1" x14ac:dyDescent="0.3">
      <c r="B3" s="81" t="s">
        <v>0</v>
      </c>
      <c r="C3" s="81"/>
      <c r="D3" s="81"/>
      <c r="E3" s="81"/>
      <c r="F3" s="81"/>
      <c r="G3" s="81"/>
      <c r="H3" s="81"/>
      <c r="I3" s="81"/>
      <c r="J3" s="81"/>
    </row>
    <row r="4" spans="1:10" ht="19.8" customHeight="1" x14ac:dyDescent="0.35">
      <c r="B4" s="82" t="s">
        <v>99</v>
      </c>
      <c r="C4" s="82"/>
      <c r="D4" s="82"/>
      <c r="E4" s="82"/>
      <c r="F4" s="82"/>
      <c r="G4" s="82"/>
      <c r="H4" s="82"/>
      <c r="I4" s="82"/>
      <c r="J4" s="82"/>
    </row>
    <row r="5" spans="1:10" ht="19.5" customHeight="1" thickBot="1" x14ac:dyDescent="0.35">
      <c r="A5" s="2"/>
      <c r="B5" s="83" t="s">
        <v>149</v>
      </c>
      <c r="C5" s="83"/>
      <c r="D5" s="83"/>
      <c r="E5" s="83"/>
      <c r="F5" s="83"/>
      <c r="G5" s="83"/>
      <c r="H5" s="83"/>
      <c r="I5" s="83"/>
      <c r="J5" s="83"/>
    </row>
    <row r="6" spans="1:10" s="3" customFormat="1" ht="9.75" customHeight="1" thickTop="1" x14ac:dyDescent="0.3">
      <c r="C6" s="84"/>
      <c r="D6" s="85"/>
      <c r="E6" s="85"/>
      <c r="F6" s="85"/>
    </row>
    <row r="7" spans="1:10" s="3" customFormat="1" ht="18.600000000000001" customHeight="1" x14ac:dyDescent="0.35">
      <c r="A7" s="86" t="s">
        <v>3</v>
      </c>
      <c r="B7" s="86"/>
      <c r="C7" s="86"/>
      <c r="D7" s="86"/>
      <c r="E7" s="86"/>
      <c r="F7" s="86"/>
      <c r="G7" s="86"/>
      <c r="H7" s="86"/>
      <c r="I7" s="86"/>
      <c r="J7" s="86"/>
    </row>
    <row r="8" spans="1:10" s="3" customFormat="1" ht="15.9" customHeight="1" x14ac:dyDescent="0.25">
      <c r="A8" s="87" t="s">
        <v>153</v>
      </c>
      <c r="B8" s="87"/>
      <c r="C8" s="87"/>
      <c r="D8" s="87"/>
      <c r="E8" s="87"/>
      <c r="F8" s="87"/>
      <c r="G8" s="87"/>
      <c r="H8" s="87"/>
      <c r="I8" s="87"/>
      <c r="J8" s="87"/>
    </row>
    <row r="9" spans="1:10" s="3" customFormat="1" ht="6" customHeight="1" x14ac:dyDescent="0.25">
      <c r="A9" s="4"/>
      <c r="B9" s="4"/>
      <c r="C9" s="5"/>
      <c r="D9" s="4"/>
      <c r="E9" s="4"/>
      <c r="F9" s="4"/>
      <c r="G9" s="4"/>
      <c r="H9" s="4"/>
      <c r="I9" s="4"/>
      <c r="J9" s="4"/>
    </row>
    <row r="10" spans="1:10" s="3" customFormat="1" ht="15.9" customHeight="1" x14ac:dyDescent="0.25">
      <c r="A10" s="3" t="s">
        <v>4</v>
      </c>
      <c r="B10" s="3" t="s">
        <v>151</v>
      </c>
      <c r="C10" s="6"/>
    </row>
    <row r="11" spans="1:10" s="3" customFormat="1" ht="15.9" customHeight="1" x14ac:dyDescent="0.25">
      <c r="A11" s="3" t="s">
        <v>5</v>
      </c>
      <c r="C11" s="6"/>
      <c r="E11" s="7"/>
    </row>
    <row r="12" spans="1:10" s="3" customFormat="1" ht="6.6" customHeight="1" x14ac:dyDescent="0.25">
      <c r="C12" s="6"/>
    </row>
    <row r="13" spans="1:10" s="3" customFormat="1" ht="15.9" customHeight="1" x14ac:dyDescent="0.25">
      <c r="A13" s="3" t="s">
        <v>164</v>
      </c>
      <c r="C13" s="6"/>
    </row>
    <row r="14" spans="1:10" s="3" customFormat="1" ht="15.9" customHeight="1" x14ac:dyDescent="0.25">
      <c r="A14" s="3" t="s">
        <v>152</v>
      </c>
      <c r="C14" s="6"/>
    </row>
    <row r="15" spans="1:10" s="3" customFormat="1" ht="5.4" customHeight="1" x14ac:dyDescent="0.25">
      <c r="A15" s="88"/>
      <c r="B15" s="88"/>
      <c r="C15" s="88"/>
      <c r="D15" s="88"/>
      <c r="E15" s="88"/>
      <c r="F15" s="88"/>
      <c r="G15" s="8"/>
      <c r="H15" s="8"/>
      <c r="I15" s="88"/>
      <c r="J15" s="88"/>
    </row>
    <row r="16" spans="1:10" s="3" customFormat="1" ht="13.8" x14ac:dyDescent="0.25">
      <c r="A16" s="9" t="s">
        <v>6</v>
      </c>
      <c r="C16" s="6"/>
    </row>
    <row r="17" spans="1:13" s="3" customFormat="1" ht="27.6" x14ac:dyDescent="0.25">
      <c r="A17" s="51" t="s">
        <v>7</v>
      </c>
      <c r="B17" s="51" t="s">
        <v>8</v>
      </c>
      <c r="C17" s="53" t="s">
        <v>9</v>
      </c>
      <c r="D17" s="51" t="s">
        <v>10</v>
      </c>
      <c r="E17" s="78" t="s">
        <v>11</v>
      </c>
      <c r="F17" s="79"/>
      <c r="G17" s="52" t="s">
        <v>12</v>
      </c>
      <c r="H17" s="52" t="s">
        <v>13</v>
      </c>
      <c r="I17" s="51" t="s">
        <v>88</v>
      </c>
      <c r="J17" s="51" t="s">
        <v>86</v>
      </c>
      <c r="K17" s="13"/>
      <c r="M17" s="13"/>
    </row>
    <row r="18" spans="1:13" s="3" customFormat="1" ht="41.4" x14ac:dyDescent="0.3">
      <c r="A18" s="10" t="s">
        <v>155</v>
      </c>
      <c r="B18" s="10" t="s">
        <v>156</v>
      </c>
      <c r="C18" s="14">
        <v>2</v>
      </c>
      <c r="D18" s="10" t="s">
        <v>157</v>
      </c>
      <c r="E18" s="89" t="s">
        <v>158</v>
      </c>
      <c r="F18" s="90"/>
      <c r="G18" s="15">
        <f>E18*C18</f>
        <v>2400</v>
      </c>
      <c r="H18" s="16">
        <f>G18*26500</f>
        <v>63600000</v>
      </c>
      <c r="I18" s="17" t="s">
        <v>159</v>
      </c>
      <c r="J18" s="10" t="s">
        <v>160</v>
      </c>
      <c r="K18"/>
      <c r="L18" s="45"/>
      <c r="M18" s="18"/>
    </row>
    <row r="19" spans="1:13" s="3" customFormat="1" ht="9.9" customHeight="1" x14ac:dyDescent="0.3">
      <c r="A19" s="19"/>
      <c r="B19" s="19"/>
      <c r="C19" s="20"/>
      <c r="D19" s="19"/>
      <c r="E19" s="21"/>
      <c r="F19" s="21"/>
      <c r="G19" s="21"/>
      <c r="H19" s="21"/>
      <c r="I19" s="22"/>
      <c r="J19" s="19"/>
      <c r="K19"/>
      <c r="L19" s="45"/>
      <c r="M19" s="18"/>
    </row>
    <row r="20" spans="1:13" s="3" customFormat="1" ht="15.9" customHeight="1" x14ac:dyDescent="0.3">
      <c r="A20" s="9" t="s">
        <v>163</v>
      </c>
      <c r="B20" s="19"/>
      <c r="C20" s="20"/>
      <c r="D20" s="19"/>
      <c r="E20" s="21"/>
      <c r="F20" s="21"/>
      <c r="G20" s="21"/>
      <c r="H20" s="21"/>
      <c r="I20" s="78" t="s">
        <v>15</v>
      </c>
      <c r="J20" s="79"/>
      <c r="K20"/>
      <c r="L20" s="45"/>
      <c r="M20" s="18"/>
    </row>
    <row r="21" spans="1:13" s="3" customFormat="1" ht="16.05" customHeight="1" x14ac:dyDescent="0.3">
      <c r="A21" s="54" t="s">
        <v>161</v>
      </c>
      <c r="B21" s="55"/>
      <c r="C21" s="23">
        <v>2</v>
      </c>
      <c r="D21" s="10" t="s">
        <v>36</v>
      </c>
      <c r="E21" s="56">
        <v>650</v>
      </c>
      <c r="F21" s="57"/>
      <c r="G21" s="24">
        <f t="shared" ref="G21:G23" si="0">C21*E21</f>
        <v>1300</v>
      </c>
      <c r="H21" s="16">
        <f t="shared" ref="H21:H26" si="1">G21*26500</f>
        <v>34450000</v>
      </c>
      <c r="I21" s="58"/>
      <c r="J21" s="59"/>
      <c r="K21"/>
      <c r="L21" s="45"/>
      <c r="M21" s="18"/>
    </row>
    <row r="22" spans="1:13" s="3" customFormat="1" ht="16.05" customHeight="1" x14ac:dyDescent="0.3">
      <c r="A22" s="54" t="s">
        <v>128</v>
      </c>
      <c r="B22" s="55"/>
      <c r="C22" s="23">
        <v>2</v>
      </c>
      <c r="D22" s="10" t="s">
        <v>36</v>
      </c>
      <c r="E22" s="56">
        <v>220</v>
      </c>
      <c r="F22" s="57"/>
      <c r="G22" s="24">
        <f t="shared" ref="G22" si="2">C22*E22</f>
        <v>440</v>
      </c>
      <c r="H22" s="16">
        <f t="shared" ref="H22" si="3">G22*26500</f>
        <v>11660000</v>
      </c>
      <c r="I22" s="58"/>
      <c r="J22" s="59"/>
      <c r="K22"/>
      <c r="L22" s="45"/>
      <c r="M22" s="18"/>
    </row>
    <row r="23" spans="1:13" s="3" customFormat="1" ht="15.9" customHeight="1" x14ac:dyDescent="0.3">
      <c r="A23" s="54" t="s">
        <v>89</v>
      </c>
      <c r="B23" s="55"/>
      <c r="C23" s="23">
        <v>1</v>
      </c>
      <c r="D23" s="10" t="s">
        <v>96</v>
      </c>
      <c r="E23" s="56">
        <v>80</v>
      </c>
      <c r="F23" s="57"/>
      <c r="G23" s="24">
        <f t="shared" si="0"/>
        <v>80</v>
      </c>
      <c r="H23" s="16">
        <f t="shared" si="1"/>
        <v>2120000</v>
      </c>
      <c r="I23" s="58"/>
      <c r="J23" s="59"/>
      <c r="K23"/>
      <c r="L23" s="45"/>
      <c r="M23" s="18"/>
    </row>
    <row r="24" spans="1:13" s="3" customFormat="1" ht="15.9" customHeight="1" x14ac:dyDescent="0.3">
      <c r="A24" s="54" t="s">
        <v>130</v>
      </c>
      <c r="B24" s="55"/>
      <c r="C24" s="23">
        <v>2</v>
      </c>
      <c r="D24" s="10" t="s">
        <v>36</v>
      </c>
      <c r="E24" s="56">
        <v>60</v>
      </c>
      <c r="F24" s="57"/>
      <c r="G24" s="24">
        <f t="shared" ref="G24:G25" si="4">C24*E24</f>
        <v>120</v>
      </c>
      <c r="H24" s="16">
        <f t="shared" si="1"/>
        <v>3180000</v>
      </c>
      <c r="I24" s="58"/>
      <c r="J24" s="59"/>
      <c r="K24"/>
      <c r="L24" s="45"/>
      <c r="M24" s="18"/>
    </row>
    <row r="25" spans="1:13" s="3" customFormat="1" ht="15.9" customHeight="1" x14ac:dyDescent="0.3">
      <c r="A25" s="54" t="s">
        <v>129</v>
      </c>
      <c r="B25" s="55"/>
      <c r="C25" s="23">
        <v>1</v>
      </c>
      <c r="D25" s="10" t="s">
        <v>96</v>
      </c>
      <c r="E25" s="56">
        <v>165</v>
      </c>
      <c r="F25" s="57"/>
      <c r="G25" s="24">
        <f t="shared" si="4"/>
        <v>165</v>
      </c>
      <c r="H25" s="16">
        <f t="shared" si="1"/>
        <v>4372500</v>
      </c>
      <c r="I25" s="58"/>
      <c r="J25" s="59"/>
      <c r="K25"/>
      <c r="L25" s="45"/>
      <c r="M25" s="18"/>
    </row>
    <row r="26" spans="1:13" s="3" customFormat="1" ht="15.9" customHeight="1" x14ac:dyDescent="0.3">
      <c r="A26" s="54" t="s">
        <v>131</v>
      </c>
      <c r="B26" s="55"/>
      <c r="C26" s="23">
        <v>1</v>
      </c>
      <c r="D26" s="10" t="s">
        <v>96</v>
      </c>
      <c r="E26" s="56">
        <v>80</v>
      </c>
      <c r="F26" s="57"/>
      <c r="G26" s="24">
        <f t="shared" ref="G26" si="5">C26*E26</f>
        <v>80</v>
      </c>
      <c r="H26" s="16">
        <f t="shared" si="1"/>
        <v>2120000</v>
      </c>
      <c r="I26" s="58"/>
      <c r="J26" s="59"/>
      <c r="K26"/>
      <c r="L26" s="45"/>
      <c r="M26" s="18"/>
    </row>
    <row r="27" spans="1:13" s="3" customFormat="1" ht="9" customHeight="1" x14ac:dyDescent="0.3">
      <c r="A27" s="25"/>
      <c r="B27" s="25"/>
      <c r="C27" s="20"/>
      <c r="D27" s="19"/>
      <c r="E27" s="21"/>
      <c r="F27" s="21"/>
      <c r="G27" s="21"/>
      <c r="H27" s="21"/>
      <c r="I27" s="19"/>
      <c r="J27" s="19"/>
      <c r="K27"/>
      <c r="L27" s="45"/>
    </row>
    <row r="28" spans="1:13" s="3" customFormat="1" ht="15" customHeight="1" x14ac:dyDescent="0.3">
      <c r="A28" s="9" t="s">
        <v>16</v>
      </c>
      <c r="B28" s="19"/>
      <c r="C28" s="20"/>
      <c r="D28" s="19"/>
      <c r="E28" s="21"/>
      <c r="F28" s="21"/>
      <c r="G28" s="21"/>
      <c r="H28" s="21"/>
      <c r="I28" s="77" t="s">
        <v>15</v>
      </c>
      <c r="J28" s="77"/>
      <c r="L28" s="45"/>
    </row>
    <row r="29" spans="1:13" s="3" customFormat="1" ht="15" customHeight="1" x14ac:dyDescent="0.3">
      <c r="A29" s="54" t="s">
        <v>17</v>
      </c>
      <c r="B29" s="55"/>
      <c r="C29" s="41">
        <f>C18</f>
        <v>2</v>
      </c>
      <c r="D29" s="10" t="s">
        <v>37</v>
      </c>
      <c r="E29" s="65">
        <v>285</v>
      </c>
      <c r="F29" s="66"/>
      <c r="G29" s="47">
        <f>C29*E29</f>
        <v>570</v>
      </c>
      <c r="H29" s="48">
        <f>G29*26500*1.08</f>
        <v>16313400.000000002</v>
      </c>
      <c r="I29" s="67"/>
      <c r="J29" s="67"/>
      <c r="L29" s="45"/>
    </row>
    <row r="30" spans="1:13" s="3" customFormat="1" ht="15" customHeight="1" x14ac:dyDescent="0.3">
      <c r="A30" s="54" t="s">
        <v>18</v>
      </c>
      <c r="B30" s="55"/>
      <c r="C30" s="49">
        <f>C29</f>
        <v>2</v>
      </c>
      <c r="D30" s="10" t="s">
        <v>37</v>
      </c>
      <c r="E30" s="65">
        <v>150</v>
      </c>
      <c r="F30" s="66"/>
      <c r="G30" s="47">
        <f t="shared" ref="G30:G35" si="6">C30*E30</f>
        <v>300</v>
      </c>
      <c r="H30" s="48">
        <f t="shared" ref="H30:H35" si="7">G30*26500*1.08</f>
        <v>8586000</v>
      </c>
      <c r="I30" s="67"/>
      <c r="J30" s="67"/>
      <c r="L30" s="45"/>
    </row>
    <row r="31" spans="1:13" s="3" customFormat="1" ht="15" customHeight="1" x14ac:dyDescent="0.25">
      <c r="A31" s="54" t="s">
        <v>38</v>
      </c>
      <c r="B31" s="55"/>
      <c r="C31" s="49">
        <f>C18</f>
        <v>2</v>
      </c>
      <c r="D31" s="10" t="s">
        <v>37</v>
      </c>
      <c r="E31" s="65">
        <v>20</v>
      </c>
      <c r="F31" s="66"/>
      <c r="G31" s="47">
        <f t="shared" si="6"/>
        <v>40</v>
      </c>
      <c r="H31" s="48">
        <f t="shared" si="7"/>
        <v>1144800</v>
      </c>
      <c r="I31" s="67"/>
      <c r="J31" s="67"/>
    </row>
    <row r="32" spans="1:13" s="3" customFormat="1" ht="18" customHeight="1" x14ac:dyDescent="0.25">
      <c r="A32" s="54" t="s">
        <v>39</v>
      </c>
      <c r="B32" s="55"/>
      <c r="C32" s="49">
        <f>C30</f>
        <v>2</v>
      </c>
      <c r="D32" s="10" t="s">
        <v>37</v>
      </c>
      <c r="E32" s="65">
        <v>20</v>
      </c>
      <c r="F32" s="66"/>
      <c r="G32" s="47">
        <f t="shared" si="6"/>
        <v>40</v>
      </c>
      <c r="H32" s="48">
        <f t="shared" si="7"/>
        <v>1144800</v>
      </c>
      <c r="I32" s="67" t="s">
        <v>146</v>
      </c>
      <c r="J32" s="67"/>
    </row>
    <row r="33" spans="1:18" s="3" customFormat="1" ht="15" customHeight="1" x14ac:dyDescent="0.25">
      <c r="A33" s="54" t="s">
        <v>19</v>
      </c>
      <c r="B33" s="55"/>
      <c r="C33" s="49">
        <v>1</v>
      </c>
      <c r="D33" s="10" t="s">
        <v>20</v>
      </c>
      <c r="E33" s="65">
        <v>35</v>
      </c>
      <c r="F33" s="66"/>
      <c r="G33" s="47">
        <f t="shared" si="6"/>
        <v>35</v>
      </c>
      <c r="H33" s="48">
        <f t="shared" si="7"/>
        <v>1001700.0000000001</v>
      </c>
      <c r="I33" s="67"/>
      <c r="J33" s="67"/>
    </row>
    <row r="34" spans="1:18" s="3" customFormat="1" ht="18" customHeight="1" x14ac:dyDescent="0.25">
      <c r="A34" s="54" t="s">
        <v>21</v>
      </c>
      <c r="B34" s="55"/>
      <c r="C34" s="49">
        <v>1</v>
      </c>
      <c r="D34" s="10" t="s">
        <v>22</v>
      </c>
      <c r="E34" s="65">
        <v>32</v>
      </c>
      <c r="F34" s="68"/>
      <c r="G34" s="46">
        <f t="shared" si="6"/>
        <v>32</v>
      </c>
      <c r="H34" s="48">
        <f t="shared" si="7"/>
        <v>915840.00000000012</v>
      </c>
      <c r="I34" s="58"/>
      <c r="J34" s="59"/>
    </row>
    <row r="35" spans="1:18" s="34" customFormat="1" ht="43.2" customHeight="1" x14ac:dyDescent="0.25">
      <c r="A35" s="69" t="s">
        <v>150</v>
      </c>
      <c r="B35" s="70"/>
      <c r="C35" s="41">
        <f>C18</f>
        <v>2</v>
      </c>
      <c r="D35" s="42" t="s">
        <v>37</v>
      </c>
      <c r="E35" s="71"/>
      <c r="F35" s="72"/>
      <c r="G35" s="43">
        <f t="shared" si="6"/>
        <v>0</v>
      </c>
      <c r="H35" s="48">
        <f t="shared" si="7"/>
        <v>0</v>
      </c>
      <c r="I35" s="73" t="s">
        <v>147</v>
      </c>
      <c r="J35" s="74"/>
      <c r="L35" s="50"/>
    </row>
    <row r="36" spans="1:18" s="3" customFormat="1" ht="7.2" customHeight="1" x14ac:dyDescent="0.25">
      <c r="A36" s="25"/>
      <c r="B36" s="25"/>
      <c r="C36" s="20"/>
      <c r="D36" s="19"/>
      <c r="E36" s="21"/>
      <c r="F36" s="21"/>
      <c r="G36" s="21"/>
      <c r="H36" s="21"/>
      <c r="I36" s="19"/>
      <c r="J36" s="19"/>
    </row>
    <row r="37" spans="1:18" s="3" customFormat="1" ht="15.9" customHeight="1" x14ac:dyDescent="0.25">
      <c r="A37" s="27" t="s">
        <v>23</v>
      </c>
      <c r="B37" s="75" t="s">
        <v>162</v>
      </c>
      <c r="C37" s="75"/>
      <c r="D37" s="75"/>
      <c r="E37" s="75"/>
      <c r="F37" s="75"/>
      <c r="G37" s="44">
        <f>SUM(G18:G35)</f>
        <v>5602</v>
      </c>
      <c r="H37" s="29">
        <f>SUM(H18:H35)</f>
        <v>150609040</v>
      </c>
      <c r="I37" s="76"/>
      <c r="J37" s="76"/>
    </row>
    <row r="38" spans="1:18" s="3" customFormat="1" ht="15.75" customHeight="1" x14ac:dyDescent="0.3">
      <c r="A38" s="30" t="s">
        <v>24</v>
      </c>
      <c r="C38" s="20"/>
      <c r="D38" s="19"/>
      <c r="E38" s="31"/>
      <c r="F38" s="31"/>
      <c r="G38" s="31"/>
      <c r="H38" s="31"/>
      <c r="N38" s="18"/>
      <c r="O38" s="18"/>
    </row>
    <row r="39" spans="1:18" s="3" customFormat="1" ht="15.75" customHeight="1" x14ac:dyDescent="0.3">
      <c r="A39" s="30"/>
      <c r="B39" s="32" t="s">
        <v>25</v>
      </c>
      <c r="C39" s="20"/>
      <c r="D39" s="19"/>
      <c r="E39" s="31"/>
      <c r="F39" s="31"/>
      <c r="G39" s="31"/>
      <c r="H39" s="31"/>
    </row>
    <row r="40" spans="1:18" s="3" customFormat="1" ht="15.75" customHeight="1" x14ac:dyDescent="0.25">
      <c r="B40" s="32" t="s">
        <v>26</v>
      </c>
      <c r="C40" s="6"/>
    </row>
    <row r="41" spans="1:18" s="3" customFormat="1" ht="15.75" customHeight="1" x14ac:dyDescent="0.3">
      <c r="B41" s="33" t="s">
        <v>27</v>
      </c>
      <c r="C41" s="6"/>
      <c r="M41"/>
      <c r="N41"/>
      <c r="O41"/>
      <c r="P41"/>
      <c r="Q41"/>
      <c r="R41"/>
    </row>
    <row r="42" spans="1:18" s="3" customFormat="1" ht="15.75" customHeight="1" x14ac:dyDescent="0.3">
      <c r="B42" s="32" t="s">
        <v>148</v>
      </c>
      <c r="C42" s="6"/>
      <c r="M42"/>
      <c r="N42"/>
      <c r="O42"/>
      <c r="P42"/>
      <c r="Q42"/>
      <c r="R42"/>
    </row>
    <row r="43" spans="1:18" s="3" customFormat="1" ht="15.75" customHeight="1" x14ac:dyDescent="0.3">
      <c r="B43" s="32" t="s">
        <v>28</v>
      </c>
      <c r="C43" s="6"/>
      <c r="M43"/>
      <c r="N43"/>
      <c r="O43"/>
      <c r="P43"/>
      <c r="Q43"/>
      <c r="R43"/>
    </row>
    <row r="44" spans="1:18" s="3" customFormat="1" ht="8.4" customHeight="1" x14ac:dyDescent="0.3">
      <c r="C44" s="6"/>
      <c r="M44"/>
      <c r="N44"/>
      <c r="O44"/>
      <c r="P44"/>
      <c r="Q44"/>
      <c r="R44"/>
    </row>
    <row r="45" spans="1:18" s="34" customFormat="1" ht="15.75" customHeight="1" x14ac:dyDescent="0.3">
      <c r="A45" s="64" t="s">
        <v>154</v>
      </c>
      <c r="B45" s="64"/>
      <c r="C45" s="64"/>
      <c r="D45" s="64"/>
      <c r="F45" s="64" t="s">
        <v>29</v>
      </c>
      <c r="G45" s="64"/>
      <c r="H45" s="64"/>
      <c r="I45" s="64"/>
      <c r="J45" s="64"/>
      <c r="M45"/>
      <c r="N45"/>
      <c r="O45"/>
      <c r="P45"/>
      <c r="Q45"/>
      <c r="R45"/>
    </row>
    <row r="46" spans="1:18" s="34" customFormat="1" ht="30" customHeight="1" x14ac:dyDescent="0.3">
      <c r="A46" s="61" t="s">
        <v>40</v>
      </c>
      <c r="B46" s="61"/>
      <c r="C46" s="61"/>
      <c r="D46" s="61"/>
      <c r="E46" s="61"/>
      <c r="F46" s="62"/>
      <c r="G46" s="62"/>
      <c r="H46" s="62"/>
      <c r="I46" s="62"/>
      <c r="J46" s="62"/>
      <c r="M46"/>
      <c r="N46"/>
      <c r="O46"/>
      <c r="P46"/>
      <c r="Q46"/>
      <c r="R46"/>
    </row>
    <row r="47" spans="1:18" s="34" customFormat="1" ht="15.75" customHeight="1" x14ac:dyDescent="0.3">
      <c r="A47" s="63" t="s">
        <v>30</v>
      </c>
      <c r="B47" s="63"/>
      <c r="C47" s="63"/>
      <c r="D47" s="63"/>
      <c r="E47" s="63"/>
      <c r="F47" s="63" t="s">
        <v>31</v>
      </c>
      <c r="G47" s="63"/>
      <c r="H47" s="63"/>
      <c r="I47" s="63"/>
      <c r="J47" s="63"/>
      <c r="M47"/>
      <c r="N47"/>
      <c r="O47"/>
      <c r="P47"/>
      <c r="Q47"/>
      <c r="R47"/>
    </row>
    <row r="48" spans="1:18" s="34" customFormat="1" ht="15.75" customHeight="1" x14ac:dyDescent="0.3">
      <c r="A48" s="35"/>
      <c r="B48" s="35"/>
      <c r="C48" s="35"/>
      <c r="D48" s="35"/>
      <c r="E48" s="35"/>
      <c r="F48" s="35"/>
      <c r="G48" s="35"/>
      <c r="H48" s="35"/>
      <c r="I48" s="35"/>
      <c r="J48" s="35"/>
      <c r="M48"/>
      <c r="N48"/>
      <c r="O48"/>
      <c r="P48"/>
      <c r="Q48"/>
      <c r="R48"/>
    </row>
    <row r="49" spans="1:18" s="34" customFormat="1" ht="15.75" customHeight="1" x14ac:dyDescent="0.3">
      <c r="A49" s="35"/>
      <c r="B49" s="35"/>
      <c r="C49" s="35"/>
      <c r="D49" s="35"/>
      <c r="E49" s="35"/>
      <c r="F49" s="35"/>
      <c r="G49" s="35"/>
      <c r="H49" s="35"/>
      <c r="I49" s="35"/>
      <c r="J49" s="35"/>
      <c r="M49"/>
      <c r="N49"/>
      <c r="O49"/>
      <c r="P49"/>
      <c r="Q49"/>
      <c r="R49"/>
    </row>
    <row r="50" spans="1:18" s="34" customFormat="1" ht="15.75" customHeight="1" x14ac:dyDescent="0.3">
      <c r="A50" s="35"/>
      <c r="B50" s="35"/>
      <c r="C50" s="35"/>
      <c r="D50" s="35"/>
      <c r="E50" s="35"/>
      <c r="F50" s="35"/>
      <c r="G50" s="35"/>
      <c r="H50" s="35"/>
      <c r="I50" s="35"/>
      <c r="J50" s="35"/>
      <c r="M50"/>
      <c r="N50"/>
      <c r="O50"/>
      <c r="P50"/>
      <c r="Q50"/>
      <c r="R50"/>
    </row>
    <row r="51" spans="1:18" s="34" customFormat="1" ht="15.75" customHeight="1" x14ac:dyDescent="0.3">
      <c r="A51" s="35"/>
      <c r="B51" s="35"/>
      <c r="C51" s="35"/>
      <c r="D51" s="35"/>
      <c r="E51" s="35"/>
      <c r="F51" s="35"/>
      <c r="G51" s="35"/>
      <c r="H51" s="35"/>
      <c r="I51" s="35"/>
      <c r="J51" s="35"/>
      <c r="M51"/>
      <c r="N51"/>
      <c r="O51"/>
      <c r="P51"/>
      <c r="Q51"/>
      <c r="R51"/>
    </row>
    <row r="52" spans="1:18" s="34" customFormat="1" ht="15.75" customHeight="1" x14ac:dyDescent="0.3">
      <c r="A52" s="35"/>
      <c r="B52" s="35"/>
      <c r="C52" s="35"/>
      <c r="D52" s="35"/>
      <c r="E52" s="35"/>
      <c r="F52" s="35"/>
      <c r="G52" s="35"/>
      <c r="H52" s="35"/>
      <c r="I52" s="35"/>
      <c r="J52" s="35"/>
      <c r="M52"/>
      <c r="N52"/>
      <c r="O52"/>
      <c r="P52"/>
      <c r="Q52"/>
      <c r="R52"/>
    </row>
    <row r="53" spans="1:18" s="39" customFormat="1" ht="15.75" customHeight="1" x14ac:dyDescent="0.3">
      <c r="A53" s="37"/>
      <c r="B53" s="38"/>
      <c r="M53"/>
      <c r="N53"/>
      <c r="O53"/>
      <c r="P53"/>
      <c r="Q53"/>
      <c r="R53"/>
    </row>
    <row r="54" spans="1:18" s="3" customFormat="1" ht="15.75" customHeight="1" x14ac:dyDescent="0.3">
      <c r="A54" s="64" t="s">
        <v>32</v>
      </c>
      <c r="B54" s="64"/>
      <c r="C54" s="64"/>
      <c r="D54" s="64"/>
      <c r="E54" s="64"/>
      <c r="F54" s="64" t="s">
        <v>32</v>
      </c>
      <c r="G54" s="64"/>
      <c r="H54" s="64"/>
      <c r="I54" s="64"/>
      <c r="J54" s="64"/>
      <c r="M54"/>
      <c r="N54"/>
      <c r="O54"/>
      <c r="P54"/>
      <c r="Q54"/>
      <c r="R54"/>
    </row>
    <row r="55" spans="1:18" s="3" customFormat="1" ht="14.4" x14ac:dyDescent="0.3">
      <c r="A55" s="60" t="s">
        <v>33</v>
      </c>
      <c r="B55" s="60"/>
      <c r="C55" s="60"/>
      <c r="D55" s="60"/>
      <c r="E55" s="60"/>
      <c r="F55" s="60"/>
      <c r="G55" s="60"/>
      <c r="H55" s="60"/>
      <c r="I55" s="60"/>
      <c r="J55" s="60"/>
      <c r="M55"/>
      <c r="N55"/>
      <c r="O55"/>
      <c r="P55"/>
      <c r="Q55"/>
      <c r="R55"/>
    </row>
    <row r="56" spans="1:18" s="3" customFormat="1" ht="14.4" x14ac:dyDescent="0.3">
      <c r="C56" s="6"/>
      <c r="M56"/>
      <c r="N56"/>
      <c r="O56"/>
      <c r="P56"/>
      <c r="Q56"/>
      <c r="R56"/>
    </row>
    <row r="57" spans="1:18" s="3" customFormat="1" ht="14.4" x14ac:dyDescent="0.3">
      <c r="C57" s="6"/>
      <c r="M57"/>
      <c r="N57"/>
      <c r="O57"/>
      <c r="P57"/>
      <c r="Q57"/>
      <c r="R57"/>
    </row>
    <row r="58" spans="1:18" s="3" customFormat="1" ht="14.4" x14ac:dyDescent="0.3">
      <c r="C58" s="6"/>
      <c r="M58"/>
      <c r="N58"/>
      <c r="O58"/>
      <c r="P58"/>
      <c r="Q58"/>
      <c r="R58"/>
    </row>
    <row r="59" spans="1:18" s="3" customFormat="1" ht="14.4" x14ac:dyDescent="0.3">
      <c r="C59" s="6"/>
      <c r="M59"/>
      <c r="N59"/>
      <c r="O59"/>
      <c r="P59"/>
      <c r="Q59"/>
      <c r="R59"/>
    </row>
    <row r="60" spans="1:18" s="3" customFormat="1" ht="13.8" x14ac:dyDescent="0.25">
      <c r="C60" s="6"/>
    </row>
  </sheetData>
  <mergeCells count="63">
    <mergeCell ref="A32:B32"/>
    <mergeCell ref="E32:F32"/>
    <mergeCell ref="I32:J32"/>
    <mergeCell ref="A30:B30"/>
    <mergeCell ref="E30:F30"/>
    <mergeCell ref="I30:J30"/>
    <mergeCell ref="A31:B31"/>
    <mergeCell ref="E31:F31"/>
    <mergeCell ref="I31:J31"/>
    <mergeCell ref="I20:J20"/>
    <mergeCell ref="B1:J2"/>
    <mergeCell ref="B3:J3"/>
    <mergeCell ref="B4:J4"/>
    <mergeCell ref="B5:J5"/>
    <mergeCell ref="C6:F6"/>
    <mergeCell ref="A7:J7"/>
    <mergeCell ref="A8:J8"/>
    <mergeCell ref="A15:F15"/>
    <mergeCell ref="I15:J15"/>
    <mergeCell ref="E17:F17"/>
    <mergeCell ref="E18:F18"/>
    <mergeCell ref="I28:J28"/>
    <mergeCell ref="A29:B29"/>
    <mergeCell ref="E29:F29"/>
    <mergeCell ref="I29:J29"/>
    <mergeCell ref="A24:B24"/>
    <mergeCell ref="E24:F24"/>
    <mergeCell ref="I24:J24"/>
    <mergeCell ref="A26:B26"/>
    <mergeCell ref="E26:F26"/>
    <mergeCell ref="I26:J26"/>
    <mergeCell ref="A25:B25"/>
    <mergeCell ref="E25:F25"/>
    <mergeCell ref="I25:J25"/>
    <mergeCell ref="A45:D45"/>
    <mergeCell ref="F45:J45"/>
    <mergeCell ref="A33:B33"/>
    <mergeCell ref="E33:F33"/>
    <mergeCell ref="I33:J33"/>
    <mergeCell ref="A34:B34"/>
    <mergeCell ref="E34:F34"/>
    <mergeCell ref="I34:J34"/>
    <mergeCell ref="A35:B35"/>
    <mergeCell ref="E35:F35"/>
    <mergeCell ref="I35:J35"/>
    <mergeCell ref="B37:F37"/>
    <mergeCell ref="I37:J37"/>
    <mergeCell ref="A22:B22"/>
    <mergeCell ref="E22:F22"/>
    <mergeCell ref="I22:J22"/>
    <mergeCell ref="A55:J55"/>
    <mergeCell ref="A21:B21"/>
    <mergeCell ref="E21:F21"/>
    <mergeCell ref="I21:J21"/>
    <mergeCell ref="A23:B23"/>
    <mergeCell ref="E23:F23"/>
    <mergeCell ref="I23:J23"/>
    <mergeCell ref="A46:E46"/>
    <mergeCell ref="F46:J46"/>
    <mergeCell ref="A47:E47"/>
    <mergeCell ref="F47:J47"/>
    <mergeCell ref="A54:E54"/>
    <mergeCell ref="F54:J54"/>
  </mergeCells>
  <pageMargins left="0.4" right="0.3" top="0.4" bottom="0.25" header="0.3" footer="0.3"/>
  <pageSetup scale="9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EAD0-8C34-4865-BD29-ED68A0ACB2D3}">
  <sheetPr>
    <pageSetUpPr fitToPage="1"/>
  </sheetPr>
  <dimension ref="A1:M60"/>
  <sheetViews>
    <sheetView view="pageBreakPreview" zoomScaleNormal="100" zoomScaleSheetLayoutView="100" workbookViewId="0">
      <selection activeCell="F46" sqref="F46:J46"/>
    </sheetView>
  </sheetViews>
  <sheetFormatPr defaultColWidth="9.109375" defaultRowHeight="15.6" x14ac:dyDescent="0.3"/>
  <cols>
    <col min="1" max="1" width="12.88671875" style="1" customWidth="1"/>
    <col min="2" max="2" width="13.5546875" style="1" customWidth="1"/>
    <col min="3" max="3" width="8.109375" style="40" customWidth="1"/>
    <col min="4" max="4" width="9.109375" style="1" customWidth="1"/>
    <col min="5" max="5" width="7" style="1" customWidth="1"/>
    <col min="6" max="6" width="2.5546875" style="1" customWidth="1"/>
    <col min="7" max="7" width="10.6640625" style="1" customWidth="1"/>
    <col min="8" max="8" width="12.77734375" style="1" customWidth="1"/>
    <col min="9" max="9" width="11.33203125" style="1" customWidth="1"/>
    <col min="10" max="10" width="14.33203125" style="1" customWidth="1"/>
    <col min="11" max="11" width="10.44140625" style="1" bestFit="1" customWidth="1"/>
    <col min="12" max="13" width="14" style="1" bestFit="1" customWidth="1"/>
    <col min="14" max="16384" width="9.109375" style="1"/>
  </cols>
  <sheetData>
    <row r="1" spans="1:10" ht="15.75" customHeight="1" x14ac:dyDescent="0.3">
      <c r="B1" s="80" t="s">
        <v>34</v>
      </c>
      <c r="C1" s="80"/>
      <c r="D1" s="80"/>
      <c r="E1" s="80"/>
      <c r="F1" s="80"/>
      <c r="G1" s="80"/>
      <c r="H1" s="80"/>
      <c r="I1" s="80"/>
      <c r="J1" s="80"/>
    </row>
    <row r="2" spans="1:10" ht="11.4" customHeight="1" x14ac:dyDescent="0.3">
      <c r="B2" s="80"/>
      <c r="C2" s="80"/>
      <c r="D2" s="80"/>
      <c r="E2" s="80"/>
      <c r="F2" s="80"/>
      <c r="G2" s="80"/>
      <c r="H2" s="80"/>
      <c r="I2" s="80"/>
      <c r="J2" s="80"/>
    </row>
    <row r="3" spans="1:10" ht="15.75" customHeight="1" x14ac:dyDescent="0.3">
      <c r="B3" s="81" t="s">
        <v>0</v>
      </c>
      <c r="C3" s="81"/>
      <c r="D3" s="81"/>
      <c r="E3" s="81"/>
      <c r="F3" s="81"/>
      <c r="G3" s="81"/>
      <c r="H3" s="81"/>
      <c r="I3" s="81"/>
      <c r="J3" s="81"/>
    </row>
    <row r="4" spans="1:10" ht="19.8" customHeight="1" x14ac:dyDescent="0.35">
      <c r="B4" s="82" t="s">
        <v>99</v>
      </c>
      <c r="C4" s="82"/>
      <c r="D4" s="82"/>
      <c r="E4" s="82"/>
      <c r="F4" s="82"/>
      <c r="G4" s="82"/>
      <c r="H4" s="82"/>
      <c r="I4" s="82"/>
      <c r="J4" s="82"/>
    </row>
    <row r="5" spans="1:10" ht="19.5" customHeight="1" thickBot="1" x14ac:dyDescent="0.35">
      <c r="A5" s="2"/>
      <c r="B5" s="83" t="s">
        <v>119</v>
      </c>
      <c r="C5" s="83"/>
      <c r="D5" s="83"/>
      <c r="E5" s="83"/>
      <c r="F5" s="83"/>
      <c r="G5" s="83"/>
      <c r="H5" s="83"/>
      <c r="I5" s="83"/>
      <c r="J5" s="83"/>
    </row>
    <row r="6" spans="1:10" s="3" customFormat="1" ht="9.75" customHeight="1" thickTop="1" x14ac:dyDescent="0.3">
      <c r="C6" s="84"/>
      <c r="D6" s="85"/>
      <c r="E6" s="85"/>
      <c r="F6" s="85"/>
    </row>
    <row r="7" spans="1:10" s="3" customFormat="1" ht="18.600000000000001" customHeight="1" x14ac:dyDescent="0.35">
      <c r="A7" s="86" t="s">
        <v>3</v>
      </c>
      <c r="B7" s="86"/>
      <c r="C7" s="86"/>
      <c r="D7" s="86"/>
      <c r="E7" s="86"/>
      <c r="F7" s="86"/>
      <c r="G7" s="86"/>
      <c r="H7" s="86"/>
      <c r="I7" s="86"/>
      <c r="J7" s="86"/>
    </row>
    <row r="8" spans="1:10" s="3" customFormat="1" ht="15.9" customHeight="1" x14ac:dyDescent="0.25">
      <c r="A8" s="87" t="s">
        <v>106</v>
      </c>
      <c r="B8" s="87"/>
      <c r="C8" s="87"/>
      <c r="D8" s="87"/>
      <c r="E8" s="87"/>
      <c r="F8" s="87"/>
      <c r="G8" s="87"/>
      <c r="H8" s="87"/>
      <c r="I8" s="87"/>
      <c r="J8" s="87"/>
    </row>
    <row r="9" spans="1:10" s="3" customFormat="1" ht="6" customHeight="1" x14ac:dyDescent="0.25">
      <c r="A9" s="4"/>
      <c r="B9" s="4"/>
      <c r="C9" s="5"/>
      <c r="D9" s="4"/>
      <c r="E9" s="4"/>
      <c r="F9" s="4"/>
      <c r="G9" s="4"/>
      <c r="H9" s="4"/>
      <c r="I9" s="4"/>
      <c r="J9" s="4"/>
    </row>
    <row r="10" spans="1:10" s="3" customFormat="1" ht="15.9" customHeight="1" x14ac:dyDescent="0.25">
      <c r="A10" s="3" t="s">
        <v>4</v>
      </c>
      <c r="B10" s="3" t="s">
        <v>112</v>
      </c>
      <c r="C10" s="6"/>
    </row>
    <row r="11" spans="1:10" s="3" customFormat="1" ht="15.9" customHeight="1" x14ac:dyDescent="0.25">
      <c r="A11" s="3" t="s">
        <v>5</v>
      </c>
      <c r="B11" s="7"/>
      <c r="C11" s="6"/>
      <c r="E11" s="7"/>
    </row>
    <row r="12" spans="1:10" s="3" customFormat="1" ht="6.6" customHeight="1" x14ac:dyDescent="0.25">
      <c r="C12" s="6"/>
    </row>
    <row r="13" spans="1:10" s="3" customFormat="1" ht="15.9" customHeight="1" x14ac:dyDescent="0.25">
      <c r="A13" s="3" t="s">
        <v>144</v>
      </c>
      <c r="C13" s="6"/>
    </row>
    <row r="14" spans="1:10" s="3" customFormat="1" ht="15.9" customHeight="1" x14ac:dyDescent="0.25">
      <c r="A14" s="3" t="s">
        <v>113</v>
      </c>
      <c r="C14" s="6"/>
    </row>
    <row r="15" spans="1:10" s="3" customFormat="1" ht="5.4" customHeight="1" x14ac:dyDescent="0.25">
      <c r="A15" s="88"/>
      <c r="B15" s="88"/>
      <c r="C15" s="88"/>
      <c r="D15" s="88"/>
      <c r="E15" s="88"/>
      <c r="F15" s="88"/>
      <c r="G15" s="8"/>
      <c r="H15" s="8"/>
      <c r="I15" s="88"/>
      <c r="J15" s="88"/>
    </row>
    <row r="16" spans="1:10" s="3" customFormat="1" ht="13.8" x14ac:dyDescent="0.25">
      <c r="A16" s="9" t="s">
        <v>6</v>
      </c>
      <c r="C16" s="6"/>
    </row>
    <row r="17" spans="1:13" s="3" customFormat="1" ht="27.6" x14ac:dyDescent="0.25">
      <c r="A17" s="10" t="s">
        <v>7</v>
      </c>
      <c r="B17" s="10" t="s">
        <v>8</v>
      </c>
      <c r="C17" s="11" t="s">
        <v>9</v>
      </c>
      <c r="D17" s="10" t="s">
        <v>10</v>
      </c>
      <c r="E17" s="58" t="s">
        <v>11</v>
      </c>
      <c r="F17" s="59"/>
      <c r="G17" s="12" t="s">
        <v>12</v>
      </c>
      <c r="H17" s="12" t="s">
        <v>13</v>
      </c>
      <c r="I17" s="10" t="s">
        <v>116</v>
      </c>
      <c r="J17" s="10" t="s">
        <v>86</v>
      </c>
      <c r="K17" s="13"/>
      <c r="M17" s="13"/>
    </row>
    <row r="18" spans="1:13" s="3" customFormat="1" ht="27.6" x14ac:dyDescent="0.25">
      <c r="A18" s="10" t="s">
        <v>104</v>
      </c>
      <c r="B18" s="10" t="s">
        <v>85</v>
      </c>
      <c r="C18" s="14">
        <v>1</v>
      </c>
      <c r="D18" s="10" t="s">
        <v>105</v>
      </c>
      <c r="E18" s="89" t="s">
        <v>101</v>
      </c>
      <c r="F18" s="90"/>
      <c r="G18" s="15">
        <f>E18*C18</f>
        <v>250</v>
      </c>
      <c r="H18" s="16">
        <f>G18*26600</f>
        <v>6650000</v>
      </c>
      <c r="I18" s="17" t="s">
        <v>117</v>
      </c>
      <c r="J18" s="10" t="s">
        <v>115</v>
      </c>
      <c r="K18" s="13"/>
      <c r="M18" s="18"/>
    </row>
    <row r="19" spans="1:13" s="3" customFormat="1" ht="9.9" customHeight="1" x14ac:dyDescent="0.25">
      <c r="A19" s="19"/>
      <c r="B19" s="19"/>
      <c r="C19" s="20"/>
      <c r="D19" s="19"/>
      <c r="E19" s="21"/>
      <c r="F19" s="21"/>
      <c r="G19" s="21"/>
      <c r="H19" s="21"/>
      <c r="I19" s="22"/>
      <c r="J19" s="19"/>
      <c r="M19" s="18"/>
    </row>
    <row r="20" spans="1:13" s="3" customFormat="1" ht="15.9" customHeight="1" x14ac:dyDescent="0.25">
      <c r="A20" s="9" t="s">
        <v>114</v>
      </c>
      <c r="B20" s="19"/>
      <c r="C20" s="20"/>
      <c r="D20" s="19"/>
      <c r="E20" s="21"/>
      <c r="F20" s="21"/>
      <c r="G20" s="21"/>
      <c r="H20" s="21"/>
      <c r="I20" s="78" t="s">
        <v>15</v>
      </c>
      <c r="J20" s="79"/>
      <c r="M20" s="18"/>
    </row>
    <row r="21" spans="1:13" s="3" customFormat="1" ht="15.9" customHeight="1" x14ac:dyDescent="0.25">
      <c r="A21" s="54" t="s">
        <v>95</v>
      </c>
      <c r="B21" s="55"/>
      <c r="C21" s="23">
        <v>1</v>
      </c>
      <c r="D21" s="10" t="s">
        <v>96</v>
      </c>
      <c r="E21" s="56">
        <v>100</v>
      </c>
      <c r="F21" s="57"/>
      <c r="G21" s="24">
        <f t="shared" ref="G21" si="0">C21*E21</f>
        <v>100</v>
      </c>
      <c r="H21" s="16">
        <f t="shared" ref="H21:H25" si="1">G21*26600</f>
        <v>2660000</v>
      </c>
      <c r="I21" s="58" t="s">
        <v>103</v>
      </c>
      <c r="J21" s="59"/>
      <c r="M21" s="18"/>
    </row>
    <row r="22" spans="1:13" s="3" customFormat="1" ht="15.9" customHeight="1" x14ac:dyDescent="0.25">
      <c r="A22" s="54" t="s">
        <v>93</v>
      </c>
      <c r="B22" s="55"/>
      <c r="C22" s="23">
        <v>1</v>
      </c>
      <c r="D22" s="10" t="s">
        <v>96</v>
      </c>
      <c r="E22" s="56">
        <v>65</v>
      </c>
      <c r="F22" s="57"/>
      <c r="G22" s="24">
        <f t="shared" ref="G22:G23" si="2">C22*E22</f>
        <v>65</v>
      </c>
      <c r="H22" s="16">
        <f t="shared" si="1"/>
        <v>1729000</v>
      </c>
      <c r="I22" s="58"/>
      <c r="J22" s="59"/>
      <c r="M22" s="18"/>
    </row>
    <row r="23" spans="1:13" s="3" customFormat="1" ht="15.9" customHeight="1" x14ac:dyDescent="0.25">
      <c r="A23" s="54" t="s">
        <v>102</v>
      </c>
      <c r="B23" s="55"/>
      <c r="C23" s="23">
        <v>1</v>
      </c>
      <c r="D23" s="10" t="s">
        <v>36</v>
      </c>
      <c r="E23" s="56">
        <v>45</v>
      </c>
      <c r="F23" s="57"/>
      <c r="G23" s="24">
        <f t="shared" si="2"/>
        <v>45</v>
      </c>
      <c r="H23" s="16">
        <f t="shared" si="1"/>
        <v>1197000</v>
      </c>
      <c r="I23" s="58"/>
      <c r="J23" s="59"/>
      <c r="M23" s="18"/>
    </row>
    <row r="24" spans="1:13" s="3" customFormat="1" ht="15.9" customHeight="1" x14ac:dyDescent="0.25">
      <c r="A24" s="54" t="s">
        <v>94</v>
      </c>
      <c r="B24" s="55"/>
      <c r="C24" s="23">
        <v>1</v>
      </c>
      <c r="D24" s="10" t="s">
        <v>96</v>
      </c>
      <c r="E24" s="56">
        <v>65</v>
      </c>
      <c r="F24" s="57"/>
      <c r="G24" s="24">
        <f t="shared" ref="G24" si="3">C24*E24</f>
        <v>65</v>
      </c>
      <c r="H24" s="16">
        <f t="shared" si="1"/>
        <v>1729000</v>
      </c>
      <c r="I24" s="58"/>
      <c r="J24" s="59"/>
      <c r="M24" s="18"/>
    </row>
    <row r="25" spans="1:13" s="3" customFormat="1" ht="15.9" customHeight="1" x14ac:dyDescent="0.25">
      <c r="A25" s="54" t="s">
        <v>53</v>
      </c>
      <c r="B25" s="55"/>
      <c r="C25" s="23">
        <v>1</v>
      </c>
      <c r="D25" s="10" t="s">
        <v>36</v>
      </c>
      <c r="E25" s="56">
        <v>180</v>
      </c>
      <c r="F25" s="57"/>
      <c r="G25" s="24">
        <f>E25</f>
        <v>180</v>
      </c>
      <c r="H25" s="16">
        <f t="shared" si="1"/>
        <v>4788000</v>
      </c>
      <c r="I25" s="58"/>
      <c r="J25" s="59"/>
      <c r="M25" s="18"/>
    </row>
    <row r="26" spans="1:13" s="3" customFormat="1" ht="15.9" customHeight="1" x14ac:dyDescent="0.25">
      <c r="A26" s="54" t="s">
        <v>57</v>
      </c>
      <c r="B26" s="55"/>
      <c r="C26" s="23">
        <v>1</v>
      </c>
      <c r="D26" s="10" t="s">
        <v>96</v>
      </c>
      <c r="E26" s="56">
        <v>35</v>
      </c>
      <c r="F26" s="57"/>
      <c r="G26" s="24">
        <f>E26</f>
        <v>35</v>
      </c>
      <c r="H26" s="16">
        <f t="shared" ref="H26" si="4">G26*26600</f>
        <v>931000</v>
      </c>
      <c r="I26" s="58"/>
      <c r="J26" s="59"/>
      <c r="M26" s="18"/>
    </row>
    <row r="27" spans="1:13" s="3" customFormat="1" ht="9" customHeight="1" x14ac:dyDescent="0.25">
      <c r="A27" s="25"/>
      <c r="B27" s="25"/>
      <c r="C27" s="20"/>
      <c r="D27" s="19"/>
      <c r="E27" s="21"/>
      <c r="F27" s="21"/>
      <c r="G27" s="21"/>
      <c r="H27" s="21"/>
      <c r="I27" s="19"/>
      <c r="J27" s="19"/>
    </row>
    <row r="28" spans="1:13" s="3" customFormat="1" ht="15" customHeight="1" x14ac:dyDescent="0.25">
      <c r="A28" s="9" t="s">
        <v>16</v>
      </c>
      <c r="B28" s="19"/>
      <c r="C28" s="20"/>
      <c r="D28" s="19"/>
      <c r="E28" s="21"/>
      <c r="F28" s="21"/>
      <c r="G28" s="21"/>
      <c r="H28" s="21"/>
      <c r="I28" s="77" t="s">
        <v>15</v>
      </c>
      <c r="J28" s="77"/>
    </row>
    <row r="29" spans="1:13" s="3" customFormat="1" ht="15" customHeight="1" x14ac:dyDescent="0.25">
      <c r="A29" s="54" t="s">
        <v>17</v>
      </c>
      <c r="B29" s="55"/>
      <c r="C29" s="26">
        <f>C18</f>
        <v>1</v>
      </c>
      <c r="D29" s="10" t="s">
        <v>37</v>
      </c>
      <c r="E29" s="56">
        <v>185</v>
      </c>
      <c r="F29" s="91"/>
      <c r="G29" s="11">
        <f>C29*E29</f>
        <v>185</v>
      </c>
      <c r="H29" s="16">
        <f>G29*26600*1.08</f>
        <v>5314680</v>
      </c>
      <c r="I29" s="67"/>
      <c r="J29" s="67"/>
    </row>
    <row r="30" spans="1:13" s="3" customFormat="1" ht="15" customHeight="1" x14ac:dyDescent="0.25">
      <c r="A30" s="54" t="s">
        <v>18</v>
      </c>
      <c r="B30" s="55"/>
      <c r="C30" s="23">
        <f>C29</f>
        <v>1</v>
      </c>
      <c r="D30" s="10" t="s">
        <v>37</v>
      </c>
      <c r="E30" s="56">
        <v>110</v>
      </c>
      <c r="F30" s="91"/>
      <c r="G30" s="11">
        <f t="shared" ref="G30:G35" si="5">C30*E30</f>
        <v>110</v>
      </c>
      <c r="H30" s="16">
        <f t="shared" ref="H30:H35" si="6">G30*26600*1.08</f>
        <v>3160080</v>
      </c>
      <c r="I30" s="67"/>
      <c r="J30" s="67"/>
    </row>
    <row r="31" spans="1:13" s="3" customFormat="1" ht="15" customHeight="1" x14ac:dyDescent="0.25">
      <c r="A31" s="54" t="s">
        <v>38</v>
      </c>
      <c r="B31" s="55"/>
      <c r="C31" s="23">
        <f>C18</f>
        <v>1</v>
      </c>
      <c r="D31" s="10" t="s">
        <v>37</v>
      </c>
      <c r="E31" s="56">
        <v>10</v>
      </c>
      <c r="F31" s="91"/>
      <c r="G31" s="11">
        <f t="shared" si="5"/>
        <v>10</v>
      </c>
      <c r="H31" s="16">
        <f t="shared" si="6"/>
        <v>287280</v>
      </c>
      <c r="I31" s="67"/>
      <c r="J31" s="67"/>
    </row>
    <row r="32" spans="1:13" s="3" customFormat="1" ht="15" customHeight="1" x14ac:dyDescent="0.25">
      <c r="A32" s="54" t="s">
        <v>39</v>
      </c>
      <c r="B32" s="55"/>
      <c r="C32" s="23">
        <f>C30</f>
        <v>1</v>
      </c>
      <c r="D32" s="10" t="s">
        <v>37</v>
      </c>
      <c r="E32" s="56">
        <v>10</v>
      </c>
      <c r="F32" s="91"/>
      <c r="G32" s="11">
        <f t="shared" si="5"/>
        <v>10</v>
      </c>
      <c r="H32" s="16">
        <v>250000</v>
      </c>
      <c r="I32" s="67"/>
      <c r="J32" s="67"/>
    </row>
    <row r="33" spans="1:10" s="3" customFormat="1" ht="15" customHeight="1" x14ac:dyDescent="0.25">
      <c r="A33" s="54" t="s">
        <v>19</v>
      </c>
      <c r="B33" s="55"/>
      <c r="C33" s="23">
        <v>1</v>
      </c>
      <c r="D33" s="10" t="s">
        <v>20</v>
      </c>
      <c r="E33" s="56">
        <v>35</v>
      </c>
      <c r="F33" s="91"/>
      <c r="G33" s="11">
        <f t="shared" si="5"/>
        <v>35</v>
      </c>
      <c r="H33" s="16">
        <f t="shared" si="6"/>
        <v>1005480.0000000001</v>
      </c>
      <c r="I33" s="67"/>
      <c r="J33" s="67"/>
    </row>
    <row r="34" spans="1:10" s="3" customFormat="1" ht="15" customHeight="1" x14ac:dyDescent="0.25">
      <c r="A34" s="54" t="s">
        <v>21</v>
      </c>
      <c r="B34" s="55"/>
      <c r="C34" s="23">
        <v>1</v>
      </c>
      <c r="D34" s="10" t="s">
        <v>22</v>
      </c>
      <c r="E34" s="56">
        <v>32</v>
      </c>
      <c r="F34" s="57"/>
      <c r="G34" s="24">
        <f t="shared" si="5"/>
        <v>32</v>
      </c>
      <c r="H34" s="16">
        <f t="shared" si="6"/>
        <v>919296.00000000012</v>
      </c>
      <c r="I34" s="58" t="s">
        <v>84</v>
      </c>
      <c r="J34" s="59"/>
    </row>
    <row r="35" spans="1:10" s="34" customFormat="1" ht="30" customHeight="1" x14ac:dyDescent="0.25">
      <c r="A35" s="69" t="s">
        <v>100</v>
      </c>
      <c r="B35" s="70"/>
      <c r="C35" s="41">
        <f>C18</f>
        <v>1</v>
      </c>
      <c r="D35" s="42" t="s">
        <v>37</v>
      </c>
      <c r="E35" s="71">
        <v>250</v>
      </c>
      <c r="F35" s="72"/>
      <c r="G35" s="43">
        <f t="shared" si="5"/>
        <v>250</v>
      </c>
      <c r="H35" s="16">
        <f t="shared" si="6"/>
        <v>7182000.0000000009</v>
      </c>
      <c r="I35" s="73" t="s">
        <v>97</v>
      </c>
      <c r="J35" s="74"/>
    </row>
    <row r="36" spans="1:10" s="3" customFormat="1" ht="7.2" customHeight="1" x14ac:dyDescent="0.25">
      <c r="A36" s="25"/>
      <c r="B36" s="25"/>
      <c r="C36" s="20"/>
      <c r="D36" s="19"/>
      <c r="E36" s="21"/>
      <c r="F36" s="21"/>
      <c r="G36" s="21"/>
      <c r="H36" s="21"/>
      <c r="I36" s="19"/>
      <c r="J36" s="19"/>
    </row>
    <row r="37" spans="1:10" s="3" customFormat="1" ht="15.9" customHeight="1" x14ac:dyDescent="0.25">
      <c r="A37" s="27" t="s">
        <v>23</v>
      </c>
      <c r="B37" s="75" t="s">
        <v>110</v>
      </c>
      <c r="C37" s="75"/>
      <c r="D37" s="75"/>
      <c r="E37" s="75"/>
      <c r="F37" s="75"/>
      <c r="G37" s="44">
        <f>SUM(G18:G35)</f>
        <v>1372</v>
      </c>
      <c r="H37" s="29">
        <f>SUM(H18:H35)</f>
        <v>37802816</v>
      </c>
      <c r="I37" s="76" t="s">
        <v>111</v>
      </c>
      <c r="J37" s="76"/>
    </row>
    <row r="38" spans="1:10" s="3" customFormat="1" ht="15.75" customHeight="1" x14ac:dyDescent="0.3">
      <c r="A38" s="30" t="s">
        <v>24</v>
      </c>
      <c r="C38" s="20"/>
      <c r="D38" s="19"/>
      <c r="E38" s="31"/>
      <c r="F38" s="31"/>
      <c r="G38" s="31"/>
      <c r="H38" s="31"/>
    </row>
    <row r="39" spans="1:10" s="3" customFormat="1" ht="15.75" customHeight="1" x14ac:dyDescent="0.3">
      <c r="A39" s="30"/>
      <c r="B39" s="32" t="s">
        <v>25</v>
      </c>
      <c r="C39" s="20"/>
      <c r="D39" s="19"/>
      <c r="E39" s="31"/>
      <c r="F39" s="31"/>
      <c r="G39" s="31"/>
      <c r="H39" s="31"/>
    </row>
    <row r="40" spans="1:10" s="3" customFormat="1" ht="15.75" customHeight="1" x14ac:dyDescent="0.25">
      <c r="B40" s="32" t="s">
        <v>26</v>
      </c>
      <c r="C40" s="6"/>
    </row>
    <row r="41" spans="1:10" s="3" customFormat="1" ht="15.75" customHeight="1" x14ac:dyDescent="0.25">
      <c r="B41" s="33" t="s">
        <v>27</v>
      </c>
      <c r="C41" s="6"/>
    </row>
    <row r="42" spans="1:10" s="3" customFormat="1" ht="15.75" customHeight="1" x14ac:dyDescent="0.25">
      <c r="B42" s="32" t="s">
        <v>87</v>
      </c>
      <c r="C42" s="6"/>
    </row>
    <row r="43" spans="1:10" s="3" customFormat="1" ht="15.75" customHeight="1" x14ac:dyDescent="0.25">
      <c r="B43" s="32" t="s">
        <v>28</v>
      </c>
      <c r="C43" s="6"/>
    </row>
    <row r="44" spans="1:10" s="3" customFormat="1" ht="8.4" customHeight="1" x14ac:dyDescent="0.25">
      <c r="C44" s="6"/>
    </row>
    <row r="45" spans="1:10" s="34" customFormat="1" ht="15.75" customHeight="1" x14ac:dyDescent="0.25">
      <c r="A45" s="64" t="s">
        <v>118</v>
      </c>
      <c r="B45" s="64"/>
      <c r="C45" s="64"/>
      <c r="D45" s="64"/>
      <c r="F45" s="64" t="s">
        <v>29</v>
      </c>
      <c r="G45" s="64"/>
      <c r="H45" s="64"/>
      <c r="I45" s="64"/>
      <c r="J45" s="64"/>
    </row>
    <row r="46" spans="1:10" s="34" customFormat="1" ht="30" customHeight="1" x14ac:dyDescent="0.25">
      <c r="A46" s="61" t="s">
        <v>40</v>
      </c>
      <c r="B46" s="61"/>
      <c r="C46" s="61"/>
      <c r="D46" s="61"/>
      <c r="E46" s="61"/>
      <c r="F46" s="62"/>
      <c r="G46" s="62"/>
      <c r="H46" s="62"/>
      <c r="I46" s="62"/>
      <c r="J46" s="62"/>
    </row>
    <row r="47" spans="1:10" s="34" customFormat="1" ht="15.75" customHeight="1" x14ac:dyDescent="0.25">
      <c r="A47" s="63" t="s">
        <v>30</v>
      </c>
      <c r="B47" s="63"/>
      <c r="C47" s="63"/>
      <c r="D47" s="63"/>
      <c r="E47" s="63"/>
      <c r="F47" s="63" t="s">
        <v>31</v>
      </c>
      <c r="G47" s="63"/>
      <c r="H47" s="63"/>
      <c r="I47" s="63"/>
      <c r="J47" s="63"/>
    </row>
    <row r="48" spans="1:10" s="34" customFormat="1" ht="15.75" customHeight="1" x14ac:dyDescent="0.25">
      <c r="A48" s="35"/>
      <c r="B48" s="35"/>
      <c r="C48" s="35"/>
      <c r="D48" s="35"/>
      <c r="E48" s="35"/>
      <c r="F48" s="35"/>
      <c r="G48" s="35"/>
      <c r="H48" s="35"/>
      <c r="I48" s="35"/>
      <c r="J48" s="35"/>
    </row>
    <row r="49" spans="1:10" s="34" customFormat="1" ht="15.75" customHeight="1" x14ac:dyDescent="0.25">
      <c r="A49" s="35"/>
      <c r="B49" s="35"/>
      <c r="C49" s="35"/>
      <c r="D49" s="35"/>
      <c r="E49" s="35"/>
      <c r="F49" s="35"/>
      <c r="G49" s="35"/>
      <c r="H49" s="35"/>
      <c r="I49" s="35"/>
      <c r="J49" s="35"/>
    </row>
    <row r="50" spans="1:10" s="34" customFormat="1" ht="15.75" customHeight="1" x14ac:dyDescent="0.25">
      <c r="A50" s="35"/>
      <c r="B50" s="35"/>
      <c r="C50" s="35"/>
      <c r="D50" s="35"/>
      <c r="E50" s="35"/>
      <c r="F50" s="35"/>
      <c r="G50" s="35"/>
      <c r="H50" s="35"/>
      <c r="I50" s="35"/>
      <c r="J50" s="35"/>
    </row>
    <row r="51" spans="1:10" s="34" customFormat="1" ht="15.75" customHeight="1" x14ac:dyDescent="0.25">
      <c r="A51" s="35"/>
      <c r="B51" s="35"/>
      <c r="C51" s="35"/>
      <c r="D51" s="35"/>
      <c r="E51" s="35"/>
      <c r="F51" s="35"/>
      <c r="G51" s="35"/>
      <c r="H51" s="35"/>
      <c r="I51" s="35"/>
      <c r="J51" s="35"/>
    </row>
    <row r="52" spans="1:10" s="34" customFormat="1" ht="15.75" customHeight="1" x14ac:dyDescent="0.25">
      <c r="A52" s="35"/>
      <c r="B52" s="35"/>
      <c r="C52" s="35"/>
      <c r="D52" s="35"/>
      <c r="E52" s="35"/>
      <c r="F52" s="35"/>
      <c r="G52" s="35"/>
      <c r="H52" s="35"/>
      <c r="I52" s="35"/>
      <c r="J52" s="35"/>
    </row>
    <row r="53" spans="1:10" s="39" customFormat="1" ht="15.75" customHeight="1" x14ac:dyDescent="0.3">
      <c r="A53" s="37"/>
      <c r="B53" s="38"/>
    </row>
    <row r="54" spans="1:10" s="3" customFormat="1" ht="15.75" customHeight="1" x14ac:dyDescent="0.25">
      <c r="A54" s="64" t="s">
        <v>32</v>
      </c>
      <c r="B54" s="64"/>
      <c r="C54" s="64"/>
      <c r="D54" s="64"/>
      <c r="E54" s="64"/>
      <c r="F54" s="64" t="s">
        <v>32</v>
      </c>
      <c r="G54" s="64"/>
      <c r="H54" s="64"/>
      <c r="I54" s="64"/>
      <c r="J54" s="64"/>
    </row>
    <row r="55" spans="1:10" s="3" customFormat="1" ht="13.8" x14ac:dyDescent="0.25">
      <c r="A55" s="60" t="s">
        <v>33</v>
      </c>
      <c r="B55" s="60"/>
      <c r="C55" s="60"/>
      <c r="D55" s="60"/>
      <c r="E55" s="60"/>
      <c r="F55" s="60"/>
      <c r="G55" s="60"/>
      <c r="H55" s="60"/>
      <c r="I55" s="60"/>
      <c r="J55" s="60"/>
    </row>
    <row r="56" spans="1:10" s="3" customFormat="1" ht="13.8" x14ac:dyDescent="0.25">
      <c r="C56" s="6"/>
    </row>
    <row r="57" spans="1:10" s="3" customFormat="1" ht="13.8" x14ac:dyDescent="0.25">
      <c r="C57" s="6"/>
    </row>
    <row r="58" spans="1:10" s="3" customFormat="1" ht="13.8" x14ac:dyDescent="0.25">
      <c r="C58" s="6"/>
    </row>
    <row r="59" spans="1:10" s="3" customFormat="1" ht="13.8" x14ac:dyDescent="0.25">
      <c r="C59" s="6"/>
    </row>
    <row r="60" spans="1:10" s="3" customFormat="1" ht="13.8" x14ac:dyDescent="0.25">
      <c r="C60" s="6"/>
    </row>
  </sheetData>
  <mergeCells count="63">
    <mergeCell ref="E26:F26"/>
    <mergeCell ref="I26:J26"/>
    <mergeCell ref="A23:B23"/>
    <mergeCell ref="E23:F23"/>
    <mergeCell ref="I23:J23"/>
    <mergeCell ref="I24:J24"/>
    <mergeCell ref="E24:F24"/>
    <mergeCell ref="A24:B24"/>
    <mergeCell ref="A26:B26"/>
    <mergeCell ref="A22:B22"/>
    <mergeCell ref="E22:F22"/>
    <mergeCell ref="I22:J22"/>
    <mergeCell ref="A21:B21"/>
    <mergeCell ref="E21:F21"/>
    <mergeCell ref="I21:J21"/>
    <mergeCell ref="E18:F18"/>
    <mergeCell ref="A25:B25"/>
    <mergeCell ref="E25:F25"/>
    <mergeCell ref="I25:J25"/>
    <mergeCell ref="F47:J47"/>
    <mergeCell ref="A47:E47"/>
    <mergeCell ref="A34:B34"/>
    <mergeCell ref="E34:F34"/>
    <mergeCell ref="I34:J34"/>
    <mergeCell ref="I28:J28"/>
    <mergeCell ref="A29:B29"/>
    <mergeCell ref="E29:F29"/>
    <mergeCell ref="I29:J29"/>
    <mergeCell ref="I20:J20"/>
    <mergeCell ref="A30:B30"/>
    <mergeCell ref="E30:F30"/>
    <mergeCell ref="A7:J7"/>
    <mergeCell ref="A8:J8"/>
    <mergeCell ref="A15:F15"/>
    <mergeCell ref="I15:J15"/>
    <mergeCell ref="E17:F17"/>
    <mergeCell ref="B1:J2"/>
    <mergeCell ref="B3:J3"/>
    <mergeCell ref="B4:J4"/>
    <mergeCell ref="B5:J5"/>
    <mergeCell ref="C6:F6"/>
    <mergeCell ref="A55:J55"/>
    <mergeCell ref="F54:J54"/>
    <mergeCell ref="A54:E54"/>
    <mergeCell ref="I30:J30"/>
    <mergeCell ref="A31:B31"/>
    <mergeCell ref="E31:F31"/>
    <mergeCell ref="I31:J31"/>
    <mergeCell ref="A32:B32"/>
    <mergeCell ref="E32:F32"/>
    <mergeCell ref="I32:J32"/>
    <mergeCell ref="A45:D45"/>
    <mergeCell ref="A46:E46"/>
    <mergeCell ref="F46:J46"/>
    <mergeCell ref="F45:J45"/>
    <mergeCell ref="A35:B35"/>
    <mergeCell ref="E35:F35"/>
    <mergeCell ref="I35:J35"/>
    <mergeCell ref="B37:F37"/>
    <mergeCell ref="I37:J37"/>
    <mergeCell ref="A33:B33"/>
    <mergeCell ref="E33:F33"/>
    <mergeCell ref="I33:J33"/>
  </mergeCells>
  <pageMargins left="0.4" right="0.3" top="0.4" bottom="0.25" header="0.3" footer="0.3"/>
  <pageSetup scale="97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FD82F-F45D-4464-9D59-3C622AE3E8C6}">
  <sheetPr>
    <pageSetUpPr fitToPage="1"/>
  </sheetPr>
  <dimension ref="A1:M52"/>
  <sheetViews>
    <sheetView topLeftCell="A28" zoomScaleNormal="100" zoomScaleSheetLayoutView="100" workbookViewId="0">
      <selection activeCell="E35" sqref="E35"/>
    </sheetView>
  </sheetViews>
  <sheetFormatPr defaultColWidth="9.109375" defaultRowHeight="15.6" x14ac:dyDescent="0.3"/>
  <cols>
    <col min="1" max="1" width="12.88671875" style="1" customWidth="1"/>
    <col min="2" max="2" width="13.5546875" style="1" customWidth="1"/>
    <col min="3" max="3" width="8.109375" style="40" customWidth="1"/>
    <col min="4" max="4" width="9.109375" style="1" customWidth="1"/>
    <col min="5" max="5" width="7" style="1" customWidth="1"/>
    <col min="6" max="6" width="2.5546875" style="1" customWidth="1"/>
    <col min="7" max="7" width="10.6640625" style="1" customWidth="1"/>
    <col min="8" max="8" width="12.77734375" style="1" customWidth="1"/>
    <col min="9" max="9" width="11.33203125" style="1" customWidth="1"/>
    <col min="10" max="10" width="14.33203125" style="1" customWidth="1"/>
    <col min="11" max="11" width="10.44140625" style="1" bestFit="1" customWidth="1"/>
    <col min="12" max="13" width="14" style="1" bestFit="1" customWidth="1"/>
    <col min="14" max="16384" width="9.109375" style="1"/>
  </cols>
  <sheetData>
    <row r="1" spans="1:10" ht="15.75" customHeight="1" x14ac:dyDescent="0.3">
      <c r="B1" s="80" t="s">
        <v>34</v>
      </c>
      <c r="C1" s="80"/>
      <c r="D1" s="80"/>
      <c r="E1" s="80"/>
      <c r="F1" s="80"/>
      <c r="G1" s="80"/>
      <c r="H1" s="80"/>
      <c r="I1" s="80"/>
      <c r="J1" s="80"/>
    </row>
    <row r="2" spans="1:10" ht="11.4" customHeight="1" x14ac:dyDescent="0.3">
      <c r="B2" s="80"/>
      <c r="C2" s="80"/>
      <c r="D2" s="80"/>
      <c r="E2" s="80"/>
      <c r="F2" s="80"/>
      <c r="G2" s="80"/>
      <c r="H2" s="80"/>
      <c r="I2" s="80"/>
      <c r="J2" s="80"/>
    </row>
    <row r="3" spans="1:10" ht="15.75" customHeight="1" x14ac:dyDescent="0.3">
      <c r="B3" s="81" t="s">
        <v>0</v>
      </c>
      <c r="C3" s="81"/>
      <c r="D3" s="81"/>
      <c r="E3" s="81"/>
      <c r="F3" s="81"/>
      <c r="G3" s="81"/>
      <c r="H3" s="81"/>
      <c r="I3" s="81"/>
      <c r="J3" s="81"/>
    </row>
    <row r="4" spans="1:10" ht="19.8" customHeight="1" x14ac:dyDescent="0.35">
      <c r="B4" s="82" t="s">
        <v>99</v>
      </c>
      <c r="C4" s="82"/>
      <c r="D4" s="82"/>
      <c r="E4" s="82"/>
      <c r="F4" s="82"/>
      <c r="G4" s="82"/>
      <c r="H4" s="82"/>
      <c r="I4" s="82"/>
      <c r="J4" s="82"/>
    </row>
    <row r="5" spans="1:10" ht="19.5" customHeight="1" thickBot="1" x14ac:dyDescent="0.35">
      <c r="A5" s="2"/>
      <c r="B5" s="83" t="s">
        <v>2</v>
      </c>
      <c r="C5" s="83"/>
      <c r="D5" s="83"/>
      <c r="E5" s="83"/>
      <c r="F5" s="83"/>
      <c r="G5" s="83"/>
      <c r="H5" s="83"/>
      <c r="I5" s="83"/>
      <c r="J5" s="83"/>
    </row>
    <row r="6" spans="1:10" s="3" customFormat="1" ht="9.75" customHeight="1" thickTop="1" x14ac:dyDescent="0.3">
      <c r="C6" s="84"/>
      <c r="D6" s="85"/>
      <c r="E6" s="85"/>
      <c r="F6" s="85"/>
    </row>
    <row r="7" spans="1:10" s="3" customFormat="1" ht="18.600000000000001" customHeight="1" x14ac:dyDescent="0.35">
      <c r="A7" s="86" t="s">
        <v>3</v>
      </c>
      <c r="B7" s="86"/>
      <c r="C7" s="86"/>
      <c r="D7" s="86"/>
      <c r="E7" s="86"/>
      <c r="F7" s="86"/>
      <c r="G7" s="86"/>
      <c r="H7" s="86"/>
      <c r="I7" s="86"/>
      <c r="J7" s="86"/>
    </row>
    <row r="8" spans="1:10" s="3" customFormat="1" ht="15.9" customHeight="1" x14ac:dyDescent="0.25">
      <c r="A8" s="87" t="s">
        <v>106</v>
      </c>
      <c r="B8" s="87"/>
      <c r="C8" s="87"/>
      <c r="D8" s="87"/>
      <c r="E8" s="87"/>
      <c r="F8" s="87"/>
      <c r="G8" s="87"/>
      <c r="H8" s="87"/>
      <c r="I8" s="87"/>
      <c r="J8" s="87"/>
    </row>
    <row r="9" spans="1:10" s="3" customFormat="1" ht="6" customHeight="1" x14ac:dyDescent="0.25">
      <c r="A9" s="4"/>
      <c r="B9" s="4"/>
      <c r="C9" s="5"/>
      <c r="D9" s="4"/>
      <c r="E9" s="4"/>
      <c r="F9" s="4"/>
      <c r="G9" s="4"/>
      <c r="H9" s="4"/>
      <c r="I9" s="4"/>
      <c r="J9" s="4"/>
    </row>
    <row r="10" spans="1:10" s="3" customFormat="1" ht="15.9" customHeight="1" x14ac:dyDescent="0.25">
      <c r="A10" s="3" t="s">
        <v>4</v>
      </c>
      <c r="B10" s="3" t="s">
        <v>107</v>
      </c>
      <c r="C10" s="6"/>
    </row>
    <row r="11" spans="1:10" s="3" customFormat="1" ht="15.9" customHeight="1" x14ac:dyDescent="0.25">
      <c r="A11" s="3" t="s">
        <v>5</v>
      </c>
      <c r="B11" s="7"/>
      <c r="C11" s="6"/>
      <c r="E11" s="7"/>
    </row>
    <row r="12" spans="1:10" s="3" customFormat="1" ht="6.6" customHeight="1" x14ac:dyDescent="0.25">
      <c r="C12" s="6"/>
    </row>
    <row r="13" spans="1:10" s="3" customFormat="1" ht="15.9" customHeight="1" x14ac:dyDescent="0.25">
      <c r="A13" s="3" t="s">
        <v>145</v>
      </c>
      <c r="C13" s="6"/>
    </row>
    <row r="14" spans="1:10" s="3" customFormat="1" ht="15.9" customHeight="1" x14ac:dyDescent="0.25">
      <c r="A14" s="3" t="s">
        <v>109</v>
      </c>
      <c r="C14" s="6"/>
    </row>
    <row r="15" spans="1:10" s="3" customFormat="1" ht="5.4" customHeight="1" x14ac:dyDescent="0.25">
      <c r="A15" s="88"/>
      <c r="B15" s="88"/>
      <c r="C15" s="88"/>
      <c r="D15" s="88"/>
      <c r="E15" s="88"/>
      <c r="F15" s="88"/>
      <c r="G15" s="8"/>
      <c r="H15" s="8"/>
      <c r="I15" s="88"/>
      <c r="J15" s="88"/>
    </row>
    <row r="16" spans="1:10" s="3" customFormat="1" ht="13.8" x14ac:dyDescent="0.25">
      <c r="A16" s="9" t="s">
        <v>6</v>
      </c>
      <c r="C16" s="6"/>
    </row>
    <row r="17" spans="1:13" s="3" customFormat="1" ht="27.6" x14ac:dyDescent="0.25">
      <c r="A17" s="10" t="s">
        <v>7</v>
      </c>
      <c r="B17" s="10" t="s">
        <v>8</v>
      </c>
      <c r="C17" s="11" t="s">
        <v>9</v>
      </c>
      <c r="D17" s="10" t="s">
        <v>10</v>
      </c>
      <c r="E17" s="58" t="s">
        <v>11</v>
      </c>
      <c r="F17" s="59"/>
      <c r="G17" s="12" t="s">
        <v>12</v>
      </c>
      <c r="H17" s="12" t="s">
        <v>42</v>
      </c>
      <c r="I17" s="10" t="s">
        <v>14</v>
      </c>
      <c r="J17" s="10" t="s">
        <v>41</v>
      </c>
      <c r="K17" s="13"/>
      <c r="M17" s="13"/>
    </row>
    <row r="18" spans="1:13" s="3" customFormat="1" ht="27.6" x14ac:dyDescent="0.25">
      <c r="A18" s="10" t="s">
        <v>120</v>
      </c>
      <c r="B18" s="10" t="s">
        <v>85</v>
      </c>
      <c r="C18" s="14">
        <v>1</v>
      </c>
      <c r="D18" s="10" t="s">
        <v>98</v>
      </c>
      <c r="E18" s="89" t="s">
        <v>121</v>
      </c>
      <c r="F18" s="90"/>
      <c r="G18" s="15">
        <f>E18*C18</f>
        <v>1450</v>
      </c>
      <c r="H18" s="16">
        <f>G18*26600</f>
        <v>38570000</v>
      </c>
      <c r="I18" s="17" t="s">
        <v>124</v>
      </c>
      <c r="J18" s="10" t="s">
        <v>122</v>
      </c>
      <c r="K18" s="13"/>
      <c r="M18" s="18"/>
    </row>
    <row r="19" spans="1:13" s="3" customFormat="1" ht="9" customHeight="1" x14ac:dyDescent="0.25">
      <c r="A19" s="25"/>
      <c r="B19" s="25"/>
      <c r="C19" s="20"/>
      <c r="D19" s="19"/>
      <c r="E19" s="21"/>
      <c r="F19" s="21"/>
      <c r="G19" s="21"/>
      <c r="H19" s="21"/>
      <c r="I19" s="19"/>
      <c r="J19" s="19"/>
    </row>
    <row r="20" spans="1:13" s="3" customFormat="1" ht="15" customHeight="1" x14ac:dyDescent="0.25">
      <c r="A20" s="9" t="s">
        <v>91</v>
      </c>
      <c r="B20" s="19"/>
      <c r="C20" s="20"/>
      <c r="D20" s="19"/>
      <c r="E20" s="21"/>
      <c r="F20" s="21"/>
      <c r="G20" s="21"/>
      <c r="H20" s="21"/>
      <c r="I20" s="77" t="s">
        <v>15</v>
      </c>
      <c r="J20" s="77"/>
    </row>
    <row r="21" spans="1:13" s="3" customFormat="1" ht="15" customHeight="1" x14ac:dyDescent="0.25">
      <c r="A21" s="54" t="s">
        <v>17</v>
      </c>
      <c r="B21" s="55"/>
      <c r="C21" s="26">
        <f>C18</f>
        <v>1</v>
      </c>
      <c r="D21" s="10" t="s">
        <v>37</v>
      </c>
      <c r="E21" s="56">
        <v>250</v>
      </c>
      <c r="F21" s="91"/>
      <c r="G21" s="11">
        <f>C21*E21</f>
        <v>250</v>
      </c>
      <c r="H21" s="16">
        <f>G21*26600</f>
        <v>6650000</v>
      </c>
      <c r="I21" s="67"/>
      <c r="J21" s="67"/>
    </row>
    <row r="22" spans="1:13" s="3" customFormat="1" ht="15" customHeight="1" x14ac:dyDescent="0.25">
      <c r="A22" s="54" t="s">
        <v>18</v>
      </c>
      <c r="B22" s="55"/>
      <c r="C22" s="23">
        <f>C21</f>
        <v>1</v>
      </c>
      <c r="D22" s="10" t="s">
        <v>37</v>
      </c>
      <c r="E22" s="56">
        <v>240</v>
      </c>
      <c r="F22" s="91"/>
      <c r="G22" s="11">
        <f t="shared" ref="G22:G27" si="0">C22*E22</f>
        <v>240</v>
      </c>
      <c r="H22" s="16">
        <f t="shared" ref="H22:H27" si="1">G22*26600</f>
        <v>6384000</v>
      </c>
      <c r="I22" s="67"/>
      <c r="J22" s="67"/>
    </row>
    <row r="23" spans="1:13" s="3" customFormat="1" ht="15" customHeight="1" x14ac:dyDescent="0.25">
      <c r="A23" s="54" t="s">
        <v>38</v>
      </c>
      <c r="B23" s="55"/>
      <c r="C23" s="23">
        <f>C18</f>
        <v>1</v>
      </c>
      <c r="D23" s="10" t="s">
        <v>37</v>
      </c>
      <c r="E23" s="56">
        <v>20</v>
      </c>
      <c r="F23" s="91"/>
      <c r="G23" s="11">
        <f t="shared" si="0"/>
        <v>20</v>
      </c>
      <c r="H23" s="16">
        <f t="shared" si="1"/>
        <v>532000</v>
      </c>
      <c r="I23" s="67"/>
      <c r="J23" s="67"/>
    </row>
    <row r="24" spans="1:13" s="3" customFormat="1" ht="15" customHeight="1" x14ac:dyDescent="0.25">
      <c r="A24" s="54" t="s">
        <v>39</v>
      </c>
      <c r="B24" s="55"/>
      <c r="C24" s="23">
        <f>C22</f>
        <v>1</v>
      </c>
      <c r="D24" s="10" t="s">
        <v>37</v>
      </c>
      <c r="E24" s="56">
        <v>20</v>
      </c>
      <c r="F24" s="91"/>
      <c r="G24" s="11">
        <f t="shared" si="0"/>
        <v>20</v>
      </c>
      <c r="H24" s="16">
        <v>500000</v>
      </c>
      <c r="I24" s="67"/>
      <c r="J24" s="67"/>
    </row>
    <row r="25" spans="1:13" s="3" customFormat="1" ht="15" customHeight="1" x14ac:dyDescent="0.25">
      <c r="A25" s="54" t="s">
        <v>19</v>
      </c>
      <c r="B25" s="55"/>
      <c r="C25" s="23">
        <v>1</v>
      </c>
      <c r="D25" s="10" t="s">
        <v>20</v>
      </c>
      <c r="E25" s="56">
        <v>35</v>
      </c>
      <c r="F25" s="91"/>
      <c r="G25" s="11">
        <f t="shared" si="0"/>
        <v>35</v>
      </c>
      <c r="H25" s="16">
        <f t="shared" si="1"/>
        <v>931000</v>
      </c>
      <c r="I25" s="67"/>
      <c r="J25" s="67"/>
    </row>
    <row r="26" spans="1:13" s="3" customFormat="1" ht="15" customHeight="1" x14ac:dyDescent="0.25">
      <c r="A26" s="54" t="s">
        <v>21</v>
      </c>
      <c r="B26" s="55"/>
      <c r="C26" s="23">
        <v>1</v>
      </c>
      <c r="D26" s="10" t="s">
        <v>22</v>
      </c>
      <c r="E26" s="56">
        <v>32</v>
      </c>
      <c r="F26" s="57"/>
      <c r="G26" s="24">
        <f t="shared" si="0"/>
        <v>32</v>
      </c>
      <c r="H26" s="16">
        <v>800000</v>
      </c>
      <c r="I26" s="58" t="s">
        <v>126</v>
      </c>
      <c r="J26" s="59"/>
    </row>
    <row r="27" spans="1:13" s="3" customFormat="1" ht="30" customHeight="1" x14ac:dyDescent="0.25">
      <c r="A27" s="54" t="s">
        <v>123</v>
      </c>
      <c r="B27" s="55"/>
      <c r="C27" s="23">
        <f>C18</f>
        <v>1</v>
      </c>
      <c r="D27" s="10" t="s">
        <v>37</v>
      </c>
      <c r="E27" s="56">
        <v>285</v>
      </c>
      <c r="F27" s="57"/>
      <c r="G27" s="24">
        <f t="shared" si="0"/>
        <v>285</v>
      </c>
      <c r="H27" s="16">
        <f t="shared" si="1"/>
        <v>7581000</v>
      </c>
      <c r="I27" s="58" t="s">
        <v>90</v>
      </c>
      <c r="J27" s="59"/>
    </row>
    <row r="28" spans="1:13" s="3" customFormat="1" ht="7.2" customHeight="1" x14ac:dyDescent="0.25">
      <c r="A28" s="25"/>
      <c r="B28" s="25"/>
      <c r="C28" s="20"/>
      <c r="D28" s="19"/>
      <c r="E28" s="21"/>
      <c r="F28" s="21"/>
      <c r="G28" s="21"/>
      <c r="H28" s="21"/>
      <c r="I28" s="19"/>
      <c r="J28" s="19"/>
    </row>
    <row r="29" spans="1:13" s="3" customFormat="1" ht="15.9" customHeight="1" x14ac:dyDescent="0.25">
      <c r="A29" s="27" t="s">
        <v>23</v>
      </c>
      <c r="B29" s="75" t="s">
        <v>127</v>
      </c>
      <c r="C29" s="75"/>
      <c r="D29" s="75"/>
      <c r="E29" s="75"/>
      <c r="F29" s="75"/>
      <c r="G29" s="44">
        <f>SUM(G18:G27)</f>
        <v>2332</v>
      </c>
      <c r="H29" s="29">
        <f>SUM(H18:H27)</f>
        <v>61948000</v>
      </c>
      <c r="I29" s="76" t="s">
        <v>125</v>
      </c>
      <c r="J29" s="76"/>
    </row>
    <row r="30" spans="1:13" s="3" customFormat="1" ht="15.75" customHeight="1" x14ac:dyDescent="0.3">
      <c r="A30" s="30" t="s">
        <v>24</v>
      </c>
      <c r="C30" s="20"/>
      <c r="D30" s="19"/>
      <c r="E30" s="31"/>
      <c r="F30" s="31"/>
      <c r="G30" s="31"/>
      <c r="H30" s="31"/>
    </row>
    <row r="31" spans="1:13" s="3" customFormat="1" ht="15.75" customHeight="1" x14ac:dyDescent="0.3">
      <c r="A31" s="30"/>
      <c r="B31" s="32" t="s">
        <v>25</v>
      </c>
      <c r="C31" s="20"/>
      <c r="D31" s="19"/>
      <c r="E31" s="31"/>
      <c r="F31" s="31"/>
      <c r="G31" s="31"/>
      <c r="H31" s="31"/>
    </row>
    <row r="32" spans="1:13" s="3" customFormat="1" ht="15.75" customHeight="1" x14ac:dyDescent="0.25">
      <c r="B32" s="32" t="s">
        <v>26</v>
      </c>
      <c r="C32" s="6"/>
    </row>
    <row r="33" spans="1:10" s="3" customFormat="1" ht="15.75" customHeight="1" x14ac:dyDescent="0.25">
      <c r="B33" s="33" t="s">
        <v>92</v>
      </c>
      <c r="C33" s="6"/>
    </row>
    <row r="34" spans="1:10" s="3" customFormat="1" ht="15.75" customHeight="1" x14ac:dyDescent="0.25">
      <c r="B34" s="32" t="s">
        <v>87</v>
      </c>
      <c r="C34" s="6"/>
    </row>
    <row r="35" spans="1:10" s="3" customFormat="1" ht="15.75" customHeight="1" x14ac:dyDescent="0.25">
      <c r="B35" s="32" t="s">
        <v>28</v>
      </c>
      <c r="C35" s="6"/>
    </row>
    <row r="36" spans="1:10" s="3" customFormat="1" ht="8.4" customHeight="1" x14ac:dyDescent="0.25">
      <c r="C36" s="6"/>
    </row>
    <row r="37" spans="1:10" s="34" customFormat="1" ht="15.75" customHeight="1" x14ac:dyDescent="0.25">
      <c r="A37" s="64" t="s">
        <v>108</v>
      </c>
      <c r="B37" s="64"/>
      <c r="C37" s="64"/>
      <c r="D37" s="64"/>
      <c r="F37" s="64" t="s">
        <v>29</v>
      </c>
      <c r="G37" s="64"/>
      <c r="H37" s="64"/>
      <c r="I37" s="64"/>
      <c r="J37" s="64"/>
    </row>
    <row r="38" spans="1:10" s="34" customFormat="1" ht="30" customHeight="1" x14ac:dyDescent="0.25">
      <c r="A38" s="61" t="s">
        <v>40</v>
      </c>
      <c r="B38" s="61"/>
      <c r="C38" s="61"/>
      <c r="D38" s="61"/>
      <c r="E38" s="61"/>
      <c r="F38" s="62"/>
      <c r="G38" s="62"/>
      <c r="H38" s="62"/>
      <c r="I38" s="62"/>
      <c r="J38" s="62"/>
    </row>
    <row r="39" spans="1:10" s="34" customFormat="1" ht="15.75" customHeight="1" x14ac:dyDescent="0.25">
      <c r="A39" s="63" t="s">
        <v>30</v>
      </c>
      <c r="B39" s="63"/>
      <c r="C39" s="63"/>
      <c r="D39" s="63"/>
      <c r="E39" s="63" t="s">
        <v>31</v>
      </c>
      <c r="F39" s="63"/>
      <c r="G39" s="63"/>
      <c r="H39" s="63"/>
      <c r="I39" s="63"/>
      <c r="J39" s="63"/>
    </row>
    <row r="40" spans="1:10" s="34" customFormat="1" ht="15.75" customHeight="1" x14ac:dyDescent="0.25">
      <c r="A40" s="35"/>
      <c r="B40" s="35"/>
      <c r="C40" s="35"/>
      <c r="D40" s="35"/>
      <c r="E40" s="35"/>
      <c r="F40" s="35"/>
      <c r="G40" s="35"/>
      <c r="H40" s="35"/>
      <c r="I40" s="35"/>
      <c r="J40" s="35"/>
    </row>
    <row r="41" spans="1:10" s="34" customFormat="1" ht="15.75" customHeight="1" x14ac:dyDescent="0.25">
      <c r="A41" s="35"/>
      <c r="B41" s="35"/>
      <c r="C41" s="35"/>
      <c r="D41" s="35"/>
      <c r="E41" s="35"/>
      <c r="F41" s="35"/>
      <c r="G41" s="35"/>
      <c r="H41" s="35"/>
      <c r="I41" s="35"/>
      <c r="J41" s="35"/>
    </row>
    <row r="42" spans="1:10" s="34" customFormat="1" ht="15.75" customHeight="1" x14ac:dyDescent="0.3">
      <c r="A42" s="36"/>
    </row>
    <row r="43" spans="1:10" s="34" customFormat="1" ht="15.75" customHeight="1" x14ac:dyDescent="0.3">
      <c r="A43" s="36"/>
    </row>
    <row r="44" spans="1:10" s="34" customFormat="1" ht="15.75" customHeight="1" x14ac:dyDescent="0.3">
      <c r="A44" s="36"/>
    </row>
    <row r="45" spans="1:10" s="39" customFormat="1" ht="15.75" customHeight="1" x14ac:dyDescent="0.3">
      <c r="A45" s="37"/>
      <c r="B45" s="38"/>
    </row>
    <row r="46" spans="1:10" s="3" customFormat="1" ht="15.75" customHeight="1" x14ac:dyDescent="0.25">
      <c r="A46" s="64" t="s">
        <v>32</v>
      </c>
      <c r="B46" s="64"/>
      <c r="C46" s="64"/>
      <c r="D46" s="64"/>
      <c r="E46" s="64"/>
      <c r="F46" s="64" t="s">
        <v>32</v>
      </c>
      <c r="G46" s="64"/>
      <c r="H46" s="64"/>
      <c r="I46" s="64"/>
      <c r="J46" s="64"/>
    </row>
    <row r="47" spans="1:10" s="3" customFormat="1" ht="13.8" x14ac:dyDescent="0.25">
      <c r="A47" s="60" t="s">
        <v>33</v>
      </c>
      <c r="B47" s="60"/>
      <c r="C47" s="60"/>
      <c r="D47" s="60"/>
      <c r="E47" s="60"/>
      <c r="F47" s="60"/>
      <c r="G47" s="60"/>
      <c r="H47" s="60"/>
      <c r="I47" s="60"/>
      <c r="J47" s="60"/>
    </row>
    <row r="48" spans="1:10" s="3" customFormat="1" ht="13.8" x14ac:dyDescent="0.25">
      <c r="C48" s="6"/>
    </row>
    <row r="49" spans="3:3" s="3" customFormat="1" ht="13.8" x14ac:dyDescent="0.25">
      <c r="C49" s="6"/>
    </row>
    <row r="50" spans="3:3" s="3" customFormat="1" ht="13.8" x14ac:dyDescent="0.25">
      <c r="C50" s="6"/>
    </row>
    <row r="51" spans="3:3" s="3" customFormat="1" ht="13.8" x14ac:dyDescent="0.25">
      <c r="C51" s="6"/>
    </row>
    <row r="52" spans="3:3" s="3" customFormat="1" ht="13.8" x14ac:dyDescent="0.25">
      <c r="C52" s="6"/>
    </row>
  </sheetData>
  <mergeCells count="44">
    <mergeCell ref="A7:J7"/>
    <mergeCell ref="B1:J2"/>
    <mergeCell ref="B3:J3"/>
    <mergeCell ref="B4:J4"/>
    <mergeCell ref="B5:J5"/>
    <mergeCell ref="C6:F6"/>
    <mergeCell ref="I20:J20"/>
    <mergeCell ref="A21:B21"/>
    <mergeCell ref="E21:F21"/>
    <mergeCell ref="I21:J21"/>
    <mergeCell ref="A22:B22"/>
    <mergeCell ref="E22:F22"/>
    <mergeCell ref="I22:J22"/>
    <mergeCell ref="A8:J8"/>
    <mergeCell ref="A15:F15"/>
    <mergeCell ref="I15:J15"/>
    <mergeCell ref="E17:F17"/>
    <mergeCell ref="E18:F18"/>
    <mergeCell ref="A23:B23"/>
    <mergeCell ref="E23:F23"/>
    <mergeCell ref="I23:J23"/>
    <mergeCell ref="A24:B24"/>
    <mergeCell ref="E24:F24"/>
    <mergeCell ref="I24:J24"/>
    <mergeCell ref="A37:D37"/>
    <mergeCell ref="F37:J37"/>
    <mergeCell ref="A25:B25"/>
    <mergeCell ref="E25:F25"/>
    <mergeCell ref="I25:J25"/>
    <mergeCell ref="A26:B26"/>
    <mergeCell ref="E26:F26"/>
    <mergeCell ref="I26:J26"/>
    <mergeCell ref="A27:B27"/>
    <mergeCell ref="E27:F27"/>
    <mergeCell ref="I27:J27"/>
    <mergeCell ref="B29:F29"/>
    <mergeCell ref="I29:J29"/>
    <mergeCell ref="A47:J47"/>
    <mergeCell ref="A38:E38"/>
    <mergeCell ref="F38:J38"/>
    <mergeCell ref="A39:D39"/>
    <mergeCell ref="E39:J39"/>
    <mergeCell ref="A46:E46"/>
    <mergeCell ref="F46:J46"/>
  </mergeCells>
  <pageMargins left="0.4" right="0.3" top="0.4" bottom="0.25" header="0.3" footer="0.3"/>
  <pageSetup scale="97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45852-88F9-4EDF-8D23-211D6FEAADE4}">
  <sheetPr>
    <pageSetUpPr fitToPage="1"/>
  </sheetPr>
  <dimension ref="A1:M60"/>
  <sheetViews>
    <sheetView view="pageBreakPreview" topLeftCell="A28" zoomScaleNormal="100" zoomScaleSheetLayoutView="100" workbookViewId="0">
      <selection activeCell="F46" sqref="F46:J46"/>
    </sheetView>
  </sheetViews>
  <sheetFormatPr defaultColWidth="9.109375" defaultRowHeight="15.6" x14ac:dyDescent="0.3"/>
  <cols>
    <col min="1" max="1" width="12.88671875" style="1" customWidth="1"/>
    <col min="2" max="2" width="13.5546875" style="1" customWidth="1"/>
    <col min="3" max="3" width="8.109375" style="40" customWidth="1"/>
    <col min="4" max="4" width="9.109375" style="1" customWidth="1"/>
    <col min="5" max="5" width="7" style="1" customWidth="1"/>
    <col min="6" max="6" width="2.5546875" style="1" customWidth="1"/>
    <col min="7" max="7" width="10.6640625" style="1" customWidth="1"/>
    <col min="8" max="8" width="12.77734375" style="1" customWidth="1"/>
    <col min="9" max="9" width="11.33203125" style="1" customWidth="1"/>
    <col min="10" max="10" width="14.33203125" style="1" customWidth="1"/>
    <col min="11" max="11" width="10.44140625" style="1" bestFit="1" customWidth="1"/>
    <col min="12" max="13" width="14" style="1" bestFit="1" customWidth="1"/>
    <col min="14" max="16384" width="9.109375" style="1"/>
  </cols>
  <sheetData>
    <row r="1" spans="1:13" ht="15.75" customHeight="1" x14ac:dyDescent="0.3">
      <c r="B1" s="80" t="s">
        <v>34</v>
      </c>
      <c r="C1" s="80"/>
      <c r="D1" s="80"/>
      <c r="E1" s="80"/>
      <c r="F1" s="80"/>
      <c r="G1" s="80"/>
      <c r="H1" s="80"/>
      <c r="I1" s="80"/>
      <c r="J1" s="80"/>
    </row>
    <row r="2" spans="1:13" ht="11.4" customHeight="1" x14ac:dyDescent="0.3">
      <c r="B2" s="80"/>
      <c r="C2" s="80"/>
      <c r="D2" s="80"/>
      <c r="E2" s="80"/>
      <c r="F2" s="80"/>
      <c r="G2" s="80"/>
      <c r="H2" s="80"/>
      <c r="I2" s="80"/>
      <c r="J2" s="80"/>
    </row>
    <row r="3" spans="1:13" ht="15.75" customHeight="1" x14ac:dyDescent="0.3">
      <c r="B3" s="81" t="s">
        <v>0</v>
      </c>
      <c r="C3" s="81"/>
      <c r="D3" s="81"/>
      <c r="E3" s="81"/>
      <c r="F3" s="81"/>
      <c r="G3" s="81"/>
      <c r="H3" s="81"/>
      <c r="I3" s="81"/>
      <c r="J3" s="81"/>
    </row>
    <row r="4" spans="1:13" ht="19.8" customHeight="1" x14ac:dyDescent="0.3">
      <c r="B4" s="92" t="s">
        <v>1</v>
      </c>
      <c r="C4" s="92"/>
      <c r="D4" s="92"/>
      <c r="E4" s="92"/>
      <c r="F4" s="92"/>
      <c r="G4" s="92"/>
      <c r="H4" s="92"/>
      <c r="I4" s="92"/>
      <c r="J4" s="92"/>
    </row>
    <row r="5" spans="1:13" ht="19.5" customHeight="1" thickBot="1" x14ac:dyDescent="0.35">
      <c r="A5" s="2"/>
      <c r="B5" s="83" t="s">
        <v>139</v>
      </c>
      <c r="C5" s="83"/>
      <c r="D5" s="83"/>
      <c r="E5" s="83"/>
      <c r="F5" s="83"/>
      <c r="G5" s="83"/>
      <c r="H5" s="83"/>
      <c r="I5" s="83"/>
      <c r="J5" s="83"/>
    </row>
    <row r="6" spans="1:13" s="3" customFormat="1" ht="9.75" customHeight="1" thickTop="1" x14ac:dyDescent="0.3">
      <c r="C6" s="84"/>
      <c r="D6" s="85"/>
      <c r="E6" s="85"/>
      <c r="F6" s="85"/>
    </row>
    <row r="7" spans="1:13" s="3" customFormat="1" ht="18.600000000000001" customHeight="1" x14ac:dyDescent="0.35">
      <c r="A7" s="86" t="s">
        <v>43</v>
      </c>
      <c r="B7" s="86"/>
      <c r="C7" s="86"/>
      <c r="D7" s="86"/>
      <c r="E7" s="86"/>
      <c r="F7" s="86"/>
      <c r="G7" s="86"/>
      <c r="H7" s="86"/>
      <c r="I7" s="86"/>
      <c r="J7" s="86"/>
    </row>
    <row r="8" spans="1:13" s="3" customFormat="1" ht="15.9" customHeight="1" x14ac:dyDescent="0.25">
      <c r="A8" s="87" t="s">
        <v>137</v>
      </c>
      <c r="B8" s="87"/>
      <c r="C8" s="87"/>
      <c r="D8" s="87"/>
      <c r="E8" s="87"/>
      <c r="F8" s="87"/>
      <c r="G8" s="87"/>
      <c r="H8" s="87"/>
      <c r="I8" s="87"/>
      <c r="J8" s="87"/>
    </row>
    <row r="9" spans="1:13" s="3" customFormat="1" ht="6" customHeight="1" x14ac:dyDescent="0.25">
      <c r="A9" s="4"/>
      <c r="B9" s="4"/>
      <c r="C9" s="5"/>
      <c r="D9" s="4"/>
      <c r="E9" s="4"/>
      <c r="F9" s="4"/>
      <c r="G9" s="4"/>
      <c r="H9" s="4"/>
      <c r="I9" s="4"/>
      <c r="J9" s="4"/>
    </row>
    <row r="10" spans="1:13" s="3" customFormat="1" ht="15.9" customHeight="1" x14ac:dyDescent="0.25">
      <c r="A10" s="3" t="s">
        <v>44</v>
      </c>
      <c r="B10" s="3" t="s">
        <v>132</v>
      </c>
      <c r="C10" s="6"/>
      <c r="D10" s="3" t="s">
        <v>66</v>
      </c>
      <c r="E10" s="7"/>
    </row>
    <row r="11" spans="1:13" s="3" customFormat="1" ht="6.6" customHeight="1" x14ac:dyDescent="0.25">
      <c r="C11" s="6"/>
    </row>
    <row r="12" spans="1:13" s="3" customFormat="1" ht="15.9" customHeight="1" x14ac:dyDescent="0.25">
      <c r="A12" s="3" t="s">
        <v>133</v>
      </c>
      <c r="C12" s="6"/>
    </row>
    <row r="13" spans="1:13" s="3" customFormat="1" ht="15.9" customHeight="1" x14ac:dyDescent="0.25">
      <c r="A13" s="3" t="s">
        <v>45</v>
      </c>
      <c r="C13" s="6"/>
    </row>
    <row r="14" spans="1:13" s="3" customFormat="1" ht="5.4" customHeight="1" x14ac:dyDescent="0.25">
      <c r="A14" s="88"/>
      <c r="B14" s="88"/>
      <c r="C14" s="88"/>
      <c r="D14" s="88"/>
      <c r="E14" s="88"/>
      <c r="F14" s="88"/>
      <c r="G14" s="8"/>
      <c r="H14" s="8"/>
      <c r="I14" s="88"/>
      <c r="J14" s="88"/>
    </row>
    <row r="15" spans="1:13" s="3" customFormat="1" ht="13.8" x14ac:dyDescent="0.25">
      <c r="A15" s="9" t="s">
        <v>49</v>
      </c>
      <c r="C15" s="6"/>
    </row>
    <row r="16" spans="1:13" s="3" customFormat="1" ht="27.6" x14ac:dyDescent="0.25">
      <c r="A16" s="10" t="s">
        <v>46</v>
      </c>
      <c r="B16" s="10" t="s">
        <v>47</v>
      </c>
      <c r="C16" s="11" t="s">
        <v>74</v>
      </c>
      <c r="D16" s="10" t="s">
        <v>73</v>
      </c>
      <c r="E16" s="58" t="s">
        <v>72</v>
      </c>
      <c r="F16" s="59"/>
      <c r="G16" s="12" t="s">
        <v>75</v>
      </c>
      <c r="H16" s="12" t="s">
        <v>83</v>
      </c>
      <c r="I16" s="10" t="s">
        <v>70</v>
      </c>
      <c r="J16" s="10" t="s">
        <v>69</v>
      </c>
      <c r="K16" s="13"/>
      <c r="M16" s="13"/>
    </row>
    <row r="17" spans="1:13" s="3" customFormat="1" ht="13.8" x14ac:dyDescent="0.25">
      <c r="A17" s="10" t="s">
        <v>134</v>
      </c>
      <c r="B17" s="10" t="s">
        <v>50</v>
      </c>
      <c r="C17" s="14">
        <v>1</v>
      </c>
      <c r="D17" s="10" t="s">
        <v>35</v>
      </c>
      <c r="E17" s="89" t="s">
        <v>142</v>
      </c>
      <c r="F17" s="90"/>
      <c r="G17" s="15">
        <f>E17*C17</f>
        <v>750</v>
      </c>
      <c r="H17" s="16">
        <f>G17*26500</f>
        <v>19875000</v>
      </c>
      <c r="I17" s="17" t="s">
        <v>140</v>
      </c>
      <c r="J17" s="10" t="s">
        <v>143</v>
      </c>
      <c r="K17" s="13"/>
      <c r="M17" s="18"/>
    </row>
    <row r="18" spans="1:13" s="3" customFormat="1" ht="9.9" customHeight="1" x14ac:dyDescent="0.25">
      <c r="A18" s="19"/>
      <c r="B18" s="19"/>
      <c r="C18" s="20"/>
      <c r="D18" s="19"/>
      <c r="E18" s="21"/>
      <c r="F18" s="21"/>
      <c r="G18" s="21"/>
      <c r="H18" s="21"/>
      <c r="I18" s="22"/>
      <c r="J18" s="19"/>
    </row>
    <row r="19" spans="1:13" s="3" customFormat="1" ht="15.9" customHeight="1" x14ac:dyDescent="0.25">
      <c r="A19" s="9" t="s">
        <v>48</v>
      </c>
      <c r="B19" s="19"/>
      <c r="C19" s="20"/>
      <c r="D19" s="19"/>
      <c r="E19" s="21"/>
      <c r="F19" s="21"/>
      <c r="G19" s="21"/>
      <c r="H19" s="21"/>
      <c r="I19" s="78" t="s">
        <v>76</v>
      </c>
      <c r="J19" s="79"/>
      <c r="M19" s="13"/>
    </row>
    <row r="20" spans="1:13" s="3" customFormat="1" ht="15.9" customHeight="1" x14ac:dyDescent="0.25">
      <c r="A20" s="54" t="s">
        <v>51</v>
      </c>
      <c r="B20" s="55"/>
      <c r="C20" s="23">
        <f>C17</f>
        <v>1</v>
      </c>
      <c r="D20" s="10" t="s">
        <v>36</v>
      </c>
      <c r="E20" s="56"/>
      <c r="F20" s="57"/>
      <c r="G20" s="24">
        <f t="shared" ref="G20:G35" si="0">C20*E20</f>
        <v>0</v>
      </c>
      <c r="H20" s="16">
        <f>G20*26000</f>
        <v>0</v>
      </c>
      <c r="I20" s="58" t="s">
        <v>82</v>
      </c>
      <c r="J20" s="59"/>
      <c r="M20" s="13"/>
    </row>
    <row r="21" spans="1:13" s="3" customFormat="1" ht="15.9" customHeight="1" x14ac:dyDescent="0.25">
      <c r="A21" s="54" t="s">
        <v>52</v>
      </c>
      <c r="B21" s="55"/>
      <c r="C21" s="23">
        <v>1</v>
      </c>
      <c r="D21" s="10" t="s">
        <v>78</v>
      </c>
      <c r="E21" s="56">
        <v>55</v>
      </c>
      <c r="F21" s="57"/>
      <c r="G21" s="24">
        <f t="shared" si="0"/>
        <v>55</v>
      </c>
      <c r="H21" s="16">
        <f>G21*26500</f>
        <v>1457500</v>
      </c>
      <c r="I21" s="58"/>
      <c r="J21" s="59"/>
    </row>
    <row r="22" spans="1:13" s="3" customFormat="1" ht="15.9" customHeight="1" x14ac:dyDescent="0.25">
      <c r="A22" s="54" t="s">
        <v>53</v>
      </c>
      <c r="B22" s="55"/>
      <c r="C22" s="23">
        <f>C17</f>
        <v>1</v>
      </c>
      <c r="D22" s="10" t="s">
        <v>36</v>
      </c>
      <c r="E22" s="56">
        <v>250</v>
      </c>
      <c r="F22" s="57"/>
      <c r="G22" s="24">
        <f t="shared" si="0"/>
        <v>250</v>
      </c>
      <c r="H22" s="16">
        <f t="shared" ref="H22:H26" si="1">G22*26500</f>
        <v>6625000</v>
      </c>
      <c r="I22" s="58"/>
      <c r="J22" s="59"/>
    </row>
    <row r="23" spans="1:13" s="3" customFormat="1" ht="15.9" customHeight="1" x14ac:dyDescent="0.25">
      <c r="A23" s="54" t="s">
        <v>54</v>
      </c>
      <c r="B23" s="55"/>
      <c r="C23" s="23">
        <f>C17</f>
        <v>1</v>
      </c>
      <c r="D23" s="10" t="s">
        <v>36</v>
      </c>
      <c r="E23" s="56">
        <v>45</v>
      </c>
      <c r="F23" s="57"/>
      <c r="G23" s="24">
        <f t="shared" si="0"/>
        <v>45</v>
      </c>
      <c r="H23" s="16">
        <f t="shared" si="1"/>
        <v>1192500</v>
      </c>
      <c r="I23" s="58"/>
      <c r="J23" s="59"/>
    </row>
    <row r="24" spans="1:13" s="3" customFormat="1" ht="15.9" customHeight="1" x14ac:dyDescent="0.25">
      <c r="A24" s="54" t="s">
        <v>56</v>
      </c>
      <c r="B24" s="55"/>
      <c r="C24" s="23">
        <v>1</v>
      </c>
      <c r="D24" s="10" t="s">
        <v>78</v>
      </c>
      <c r="E24" s="56">
        <v>65</v>
      </c>
      <c r="F24" s="57"/>
      <c r="G24" s="11">
        <f t="shared" si="0"/>
        <v>65</v>
      </c>
      <c r="H24" s="16">
        <f t="shared" si="1"/>
        <v>1722500</v>
      </c>
      <c r="I24" s="67"/>
      <c r="J24" s="67"/>
      <c r="L24" s="6"/>
    </row>
    <row r="25" spans="1:13" s="3" customFormat="1" ht="15.9" customHeight="1" x14ac:dyDescent="0.25">
      <c r="A25" s="54" t="s">
        <v>55</v>
      </c>
      <c r="B25" s="55"/>
      <c r="C25" s="23">
        <v>1</v>
      </c>
      <c r="D25" s="10" t="s">
        <v>78</v>
      </c>
      <c r="E25" s="56">
        <v>100</v>
      </c>
      <c r="F25" s="57"/>
      <c r="G25" s="11">
        <f t="shared" si="0"/>
        <v>100</v>
      </c>
      <c r="H25" s="16">
        <f t="shared" si="1"/>
        <v>2650000</v>
      </c>
      <c r="I25" s="67"/>
      <c r="J25" s="67"/>
      <c r="L25" s="6"/>
    </row>
    <row r="26" spans="1:13" s="3" customFormat="1" ht="15.9" customHeight="1" x14ac:dyDescent="0.25">
      <c r="A26" s="54" t="s">
        <v>57</v>
      </c>
      <c r="B26" s="55"/>
      <c r="C26" s="23">
        <v>1</v>
      </c>
      <c r="D26" s="10" t="s">
        <v>78</v>
      </c>
      <c r="E26" s="56">
        <v>35</v>
      </c>
      <c r="F26" s="57"/>
      <c r="G26" s="11">
        <f t="shared" si="0"/>
        <v>35</v>
      </c>
      <c r="H26" s="16">
        <f t="shared" si="1"/>
        <v>927500</v>
      </c>
      <c r="I26" s="67"/>
      <c r="J26" s="67"/>
      <c r="L26" s="6"/>
    </row>
    <row r="27" spans="1:13" s="3" customFormat="1" ht="9" customHeight="1" x14ac:dyDescent="0.25">
      <c r="A27" s="25"/>
      <c r="B27" s="25"/>
      <c r="C27" s="20"/>
      <c r="D27" s="19"/>
      <c r="E27" s="21"/>
      <c r="F27" s="21"/>
      <c r="G27" s="21"/>
      <c r="H27" s="21"/>
      <c r="I27" s="19"/>
      <c r="J27" s="19"/>
    </row>
    <row r="28" spans="1:13" s="3" customFormat="1" ht="15" customHeight="1" x14ac:dyDescent="0.25">
      <c r="A28" s="9" t="s">
        <v>64</v>
      </c>
      <c r="B28" s="19"/>
      <c r="C28" s="20"/>
      <c r="D28" s="19"/>
      <c r="E28" s="21"/>
      <c r="F28" s="21"/>
      <c r="G28" s="21"/>
      <c r="H28" s="21"/>
      <c r="I28" s="77" t="s">
        <v>77</v>
      </c>
      <c r="J28" s="77"/>
    </row>
    <row r="29" spans="1:13" s="3" customFormat="1" ht="15" customHeight="1" x14ac:dyDescent="0.25">
      <c r="A29" s="54" t="s">
        <v>53</v>
      </c>
      <c r="B29" s="55"/>
      <c r="C29" s="26">
        <f>C17</f>
        <v>1</v>
      </c>
      <c r="D29" s="10" t="s">
        <v>37</v>
      </c>
      <c r="E29" s="56">
        <v>235</v>
      </c>
      <c r="F29" s="91"/>
      <c r="G29" s="11">
        <f>C29*E29</f>
        <v>235</v>
      </c>
      <c r="H29" s="16">
        <f>G29*26500*1.08</f>
        <v>6725700</v>
      </c>
      <c r="I29" s="67"/>
      <c r="J29" s="67"/>
    </row>
    <row r="30" spans="1:13" s="3" customFormat="1" ht="15" customHeight="1" x14ac:dyDescent="0.25">
      <c r="A30" s="54" t="s">
        <v>58</v>
      </c>
      <c r="B30" s="55"/>
      <c r="C30" s="23">
        <f>C29</f>
        <v>1</v>
      </c>
      <c r="D30" s="10" t="s">
        <v>37</v>
      </c>
      <c r="E30" s="56">
        <v>250</v>
      </c>
      <c r="F30" s="91"/>
      <c r="G30" s="11">
        <f t="shared" si="0"/>
        <v>250</v>
      </c>
      <c r="H30" s="16">
        <f t="shared" ref="H30:H35" si="2">G30*26500*1.08</f>
        <v>7155000.0000000009</v>
      </c>
      <c r="I30" s="67"/>
      <c r="J30" s="67"/>
    </row>
    <row r="31" spans="1:13" s="3" customFormat="1" ht="15" customHeight="1" x14ac:dyDescent="0.25">
      <c r="A31" s="54" t="s">
        <v>63</v>
      </c>
      <c r="B31" s="55"/>
      <c r="C31" s="23">
        <f>C30</f>
        <v>1</v>
      </c>
      <c r="D31" s="10" t="s">
        <v>37</v>
      </c>
      <c r="E31" s="56">
        <v>20</v>
      </c>
      <c r="F31" s="91"/>
      <c r="G31" s="11">
        <f t="shared" si="0"/>
        <v>20</v>
      </c>
      <c r="H31" s="16">
        <f t="shared" si="2"/>
        <v>572400</v>
      </c>
      <c r="I31" s="67"/>
      <c r="J31" s="67"/>
    </row>
    <row r="32" spans="1:13" s="3" customFormat="1" ht="15" customHeight="1" x14ac:dyDescent="0.25">
      <c r="A32" s="54" t="s">
        <v>59</v>
      </c>
      <c r="B32" s="55"/>
      <c r="C32" s="23">
        <v>1</v>
      </c>
      <c r="D32" s="10" t="s">
        <v>78</v>
      </c>
      <c r="E32" s="56">
        <v>40</v>
      </c>
      <c r="F32" s="91"/>
      <c r="G32" s="11">
        <f t="shared" si="0"/>
        <v>40</v>
      </c>
      <c r="H32" s="16">
        <f t="shared" si="2"/>
        <v>1144800</v>
      </c>
      <c r="I32" s="67"/>
      <c r="J32" s="67"/>
    </row>
    <row r="33" spans="1:10" s="3" customFormat="1" ht="15" customHeight="1" x14ac:dyDescent="0.25">
      <c r="A33" s="54" t="s">
        <v>60</v>
      </c>
      <c r="B33" s="55"/>
      <c r="C33" s="23">
        <v>1</v>
      </c>
      <c r="D33" s="10" t="s">
        <v>78</v>
      </c>
      <c r="E33" s="56">
        <v>200</v>
      </c>
      <c r="F33" s="57"/>
      <c r="G33" s="24">
        <f t="shared" si="0"/>
        <v>200</v>
      </c>
      <c r="H33" s="16">
        <f t="shared" si="2"/>
        <v>5724000</v>
      </c>
      <c r="I33" s="58" t="s">
        <v>135</v>
      </c>
      <c r="J33" s="59"/>
    </row>
    <row r="34" spans="1:10" s="3" customFormat="1" ht="15" customHeight="1" x14ac:dyDescent="0.25">
      <c r="A34" s="54" t="s">
        <v>61</v>
      </c>
      <c r="B34" s="55"/>
      <c r="C34" s="23">
        <v>1</v>
      </c>
      <c r="D34" s="10" t="s">
        <v>78</v>
      </c>
      <c r="E34" s="56">
        <v>35</v>
      </c>
      <c r="F34" s="57"/>
      <c r="G34" s="24">
        <f t="shared" si="0"/>
        <v>35</v>
      </c>
      <c r="H34" s="16">
        <f t="shared" si="2"/>
        <v>1001700.0000000001</v>
      </c>
      <c r="I34" s="58"/>
      <c r="J34" s="59"/>
    </row>
    <row r="35" spans="1:10" s="3" customFormat="1" ht="30" customHeight="1" x14ac:dyDescent="0.25">
      <c r="A35" s="54" t="s">
        <v>62</v>
      </c>
      <c r="B35" s="55"/>
      <c r="C35" s="23">
        <f>C17</f>
        <v>1</v>
      </c>
      <c r="D35" s="10" t="s">
        <v>37</v>
      </c>
      <c r="E35" s="56"/>
      <c r="F35" s="57"/>
      <c r="G35" s="24">
        <f t="shared" si="0"/>
        <v>0</v>
      </c>
      <c r="H35" s="16">
        <f t="shared" si="2"/>
        <v>0</v>
      </c>
      <c r="I35" s="58" t="s">
        <v>82</v>
      </c>
      <c r="J35" s="59"/>
    </row>
    <row r="36" spans="1:10" s="3" customFormat="1" ht="7.2" customHeight="1" x14ac:dyDescent="0.25">
      <c r="A36" s="25"/>
      <c r="B36" s="25"/>
      <c r="C36" s="20"/>
      <c r="D36" s="19"/>
      <c r="E36" s="21"/>
      <c r="F36" s="21"/>
      <c r="G36" s="21"/>
      <c r="H36" s="21"/>
      <c r="I36" s="19"/>
      <c r="J36" s="19"/>
    </row>
    <row r="37" spans="1:10" s="3" customFormat="1" ht="15.9" customHeight="1" x14ac:dyDescent="0.25">
      <c r="A37" s="27" t="s">
        <v>65</v>
      </c>
      <c r="B37" s="75" t="s">
        <v>141</v>
      </c>
      <c r="C37" s="75"/>
      <c r="D37" s="75"/>
      <c r="E37" s="75"/>
      <c r="F37" s="75"/>
      <c r="G37" s="28">
        <f>SUM(G17:G35)</f>
        <v>2080</v>
      </c>
      <c r="H37" s="29">
        <f>SUM(H17:H35)</f>
        <v>56773600</v>
      </c>
      <c r="I37" s="76" t="s">
        <v>71</v>
      </c>
      <c r="J37" s="76"/>
    </row>
    <row r="38" spans="1:10" s="3" customFormat="1" ht="15.75" customHeight="1" x14ac:dyDescent="0.3">
      <c r="A38" s="30" t="s">
        <v>24</v>
      </c>
      <c r="C38" s="20"/>
      <c r="D38" s="19"/>
      <c r="E38" s="31"/>
      <c r="F38" s="31"/>
      <c r="G38" s="31"/>
      <c r="H38" s="31"/>
    </row>
    <row r="39" spans="1:10" s="3" customFormat="1" ht="15.75" customHeight="1" x14ac:dyDescent="0.3">
      <c r="A39" s="30"/>
      <c r="B39" s="32" t="s">
        <v>79</v>
      </c>
      <c r="C39" s="20"/>
      <c r="D39" s="19"/>
      <c r="E39" s="31"/>
      <c r="F39" s="31"/>
      <c r="G39" s="31"/>
      <c r="H39" s="31"/>
    </row>
    <row r="40" spans="1:10" s="3" customFormat="1" ht="15.75" customHeight="1" x14ac:dyDescent="0.25">
      <c r="B40" s="32" t="s">
        <v>80</v>
      </c>
      <c r="C40" s="6"/>
    </row>
    <row r="41" spans="1:10" s="3" customFormat="1" ht="15.75" customHeight="1" x14ac:dyDescent="0.25">
      <c r="B41" s="33" t="s">
        <v>81</v>
      </c>
      <c r="C41" s="6"/>
    </row>
    <row r="42" spans="1:10" s="3" customFormat="1" ht="15.75" customHeight="1" x14ac:dyDescent="0.25">
      <c r="B42" s="32" t="s">
        <v>136</v>
      </c>
      <c r="C42" s="6"/>
    </row>
    <row r="43" spans="1:10" s="3" customFormat="1" ht="15.75" customHeight="1" x14ac:dyDescent="0.25">
      <c r="B43" s="32" t="s">
        <v>68</v>
      </c>
      <c r="C43" s="6"/>
    </row>
    <row r="44" spans="1:10" s="3" customFormat="1" ht="8.4" customHeight="1" x14ac:dyDescent="0.25">
      <c r="C44" s="6"/>
    </row>
    <row r="45" spans="1:10" s="34" customFormat="1" ht="15.75" customHeight="1" x14ac:dyDescent="0.25">
      <c r="A45" s="64" t="s">
        <v>138</v>
      </c>
      <c r="B45" s="64"/>
      <c r="C45" s="64"/>
      <c r="D45" s="64"/>
      <c r="F45" s="64" t="s">
        <v>67</v>
      </c>
      <c r="G45" s="64"/>
      <c r="H45" s="64"/>
      <c r="I45" s="64"/>
      <c r="J45" s="64"/>
    </row>
    <row r="46" spans="1:10" s="34" customFormat="1" ht="30" customHeight="1" x14ac:dyDescent="0.25">
      <c r="A46" s="61" t="s">
        <v>34</v>
      </c>
      <c r="B46" s="61"/>
      <c r="C46" s="61"/>
      <c r="D46" s="61"/>
      <c r="E46" s="61"/>
      <c r="F46" s="62"/>
      <c r="G46" s="62"/>
      <c r="H46" s="62"/>
      <c r="I46" s="62"/>
      <c r="J46" s="62"/>
    </row>
    <row r="47" spans="1:10" s="34" customFormat="1" ht="15.75" customHeight="1" x14ac:dyDescent="0.25">
      <c r="A47" s="63" t="s">
        <v>30</v>
      </c>
      <c r="B47" s="63"/>
      <c r="C47" s="63"/>
      <c r="D47" s="63"/>
      <c r="E47" s="63"/>
      <c r="F47" s="63" t="s">
        <v>31</v>
      </c>
      <c r="G47" s="63"/>
      <c r="H47" s="63"/>
      <c r="I47" s="63"/>
      <c r="J47" s="63"/>
    </row>
    <row r="48" spans="1:10" s="34" customFormat="1" ht="15.75" customHeight="1" x14ac:dyDescent="0.25">
      <c r="A48" s="35"/>
      <c r="B48" s="35"/>
      <c r="C48" s="35"/>
      <c r="D48" s="35"/>
      <c r="E48" s="35"/>
      <c r="F48" s="35"/>
      <c r="G48" s="35"/>
      <c r="H48" s="35"/>
      <c r="I48" s="35"/>
      <c r="J48" s="35"/>
    </row>
    <row r="49" spans="1:10" s="34" customFormat="1" ht="15.75" customHeight="1" x14ac:dyDescent="0.25">
      <c r="A49" s="35"/>
      <c r="B49" s="35"/>
      <c r="C49" s="35"/>
      <c r="D49" s="35"/>
      <c r="E49" s="35"/>
      <c r="F49" s="35"/>
      <c r="G49" s="35"/>
      <c r="H49" s="35"/>
      <c r="I49" s="35"/>
      <c r="J49" s="35"/>
    </row>
    <row r="50" spans="1:10" s="34" customFormat="1" ht="15.75" customHeight="1" x14ac:dyDescent="0.25">
      <c r="A50" s="35"/>
      <c r="B50" s="35"/>
      <c r="C50" s="35"/>
      <c r="D50" s="35"/>
      <c r="E50" s="35"/>
      <c r="F50" s="35"/>
      <c r="G50" s="35"/>
      <c r="H50" s="35"/>
      <c r="I50" s="35"/>
      <c r="J50" s="35"/>
    </row>
    <row r="51" spans="1:10" s="34" customFormat="1" ht="15.75" customHeight="1" x14ac:dyDescent="0.25">
      <c r="A51" s="35"/>
      <c r="B51" s="35"/>
      <c r="C51" s="35"/>
      <c r="D51" s="35"/>
      <c r="E51" s="35"/>
      <c r="F51" s="35"/>
      <c r="G51" s="35"/>
      <c r="H51" s="35"/>
      <c r="I51" s="35"/>
      <c r="J51" s="35"/>
    </row>
    <row r="52" spans="1:10" s="34" customFormat="1" ht="15.75" customHeight="1" x14ac:dyDescent="0.25">
      <c r="A52" s="35"/>
      <c r="B52" s="35"/>
      <c r="C52" s="35"/>
      <c r="D52" s="35"/>
      <c r="E52" s="35"/>
      <c r="F52" s="35"/>
      <c r="G52" s="35"/>
      <c r="H52" s="35"/>
      <c r="I52" s="35"/>
      <c r="J52" s="35"/>
    </row>
    <row r="53" spans="1:10" s="39" customFormat="1" ht="15.75" customHeight="1" x14ac:dyDescent="0.3">
      <c r="A53" s="37"/>
      <c r="B53" s="38"/>
    </row>
    <row r="54" spans="1:10" s="3" customFormat="1" ht="15.75" customHeight="1" x14ac:dyDescent="0.25">
      <c r="A54" s="64" t="s">
        <v>32</v>
      </c>
      <c r="B54" s="64"/>
      <c r="C54" s="64"/>
      <c r="D54" s="64"/>
      <c r="E54" s="64"/>
      <c r="F54" s="64" t="s">
        <v>32</v>
      </c>
      <c r="G54" s="64"/>
      <c r="H54" s="64"/>
      <c r="I54" s="64"/>
      <c r="J54" s="64"/>
    </row>
    <row r="55" spans="1:10" s="3" customFormat="1" ht="13.8" x14ac:dyDescent="0.25">
      <c r="A55" s="60" t="s">
        <v>33</v>
      </c>
      <c r="B55" s="60"/>
      <c r="C55" s="60"/>
      <c r="D55" s="60"/>
      <c r="E55" s="60"/>
      <c r="F55" s="60"/>
      <c r="G55" s="60"/>
      <c r="H55" s="60"/>
      <c r="I55" s="60"/>
      <c r="J55" s="60"/>
    </row>
    <row r="56" spans="1:10" s="3" customFormat="1" ht="13.8" x14ac:dyDescent="0.25">
      <c r="C56" s="6"/>
    </row>
    <row r="57" spans="1:10" s="3" customFormat="1" ht="13.8" x14ac:dyDescent="0.25">
      <c r="C57" s="6"/>
    </row>
    <row r="58" spans="1:10" s="3" customFormat="1" ht="13.8" x14ac:dyDescent="0.25">
      <c r="C58" s="6"/>
    </row>
    <row r="59" spans="1:10" s="3" customFormat="1" ht="13.8" x14ac:dyDescent="0.25">
      <c r="C59" s="6"/>
    </row>
    <row r="60" spans="1:10" s="3" customFormat="1" ht="13.8" x14ac:dyDescent="0.25">
      <c r="C60" s="6"/>
    </row>
  </sheetData>
  <mergeCells count="66">
    <mergeCell ref="A7:J7"/>
    <mergeCell ref="B1:J2"/>
    <mergeCell ref="B3:J3"/>
    <mergeCell ref="B4:J4"/>
    <mergeCell ref="B5:J5"/>
    <mergeCell ref="C6:F6"/>
    <mergeCell ref="A20:B20"/>
    <mergeCell ref="E20:F20"/>
    <mergeCell ref="I20:J20"/>
    <mergeCell ref="A8:J8"/>
    <mergeCell ref="A14:F14"/>
    <mergeCell ref="I14:J14"/>
    <mergeCell ref="E16:F16"/>
    <mergeCell ref="E17:F17"/>
    <mergeCell ref="I19:J19"/>
    <mergeCell ref="A21:B21"/>
    <mergeCell ref="E21:F21"/>
    <mergeCell ref="I21:J21"/>
    <mergeCell ref="A22:B22"/>
    <mergeCell ref="E22:F22"/>
    <mergeCell ref="I22:J22"/>
    <mergeCell ref="A23:B23"/>
    <mergeCell ref="E23:F23"/>
    <mergeCell ref="I23:J23"/>
    <mergeCell ref="A24:B24"/>
    <mergeCell ref="E24:F24"/>
    <mergeCell ref="I24:J24"/>
    <mergeCell ref="A25:B25"/>
    <mergeCell ref="E25:F25"/>
    <mergeCell ref="I25:J25"/>
    <mergeCell ref="A26:B26"/>
    <mergeCell ref="E26:F26"/>
    <mergeCell ref="I26:J26"/>
    <mergeCell ref="I28:J28"/>
    <mergeCell ref="A29:B29"/>
    <mergeCell ref="E29:F29"/>
    <mergeCell ref="I29:J29"/>
    <mergeCell ref="A30:B30"/>
    <mergeCell ref="E30:F30"/>
    <mergeCell ref="I30:J30"/>
    <mergeCell ref="A31:B31"/>
    <mergeCell ref="E31:F31"/>
    <mergeCell ref="I31:J31"/>
    <mergeCell ref="A32:B32"/>
    <mergeCell ref="E32:F32"/>
    <mergeCell ref="I32:J32"/>
    <mergeCell ref="A33:B33"/>
    <mergeCell ref="E33:F33"/>
    <mergeCell ref="I33:J33"/>
    <mergeCell ref="A34:B34"/>
    <mergeCell ref="E34:F34"/>
    <mergeCell ref="I34:J34"/>
    <mergeCell ref="A35:B35"/>
    <mergeCell ref="E35:F35"/>
    <mergeCell ref="I35:J35"/>
    <mergeCell ref="B37:F37"/>
    <mergeCell ref="I37:J37"/>
    <mergeCell ref="A54:E54"/>
    <mergeCell ref="F54:J54"/>
    <mergeCell ref="A55:J55"/>
    <mergeCell ref="A45:D45"/>
    <mergeCell ref="F45:J45"/>
    <mergeCell ref="A46:E46"/>
    <mergeCell ref="F46:J46"/>
    <mergeCell ref="A47:E47"/>
    <mergeCell ref="F47:J47"/>
  </mergeCells>
  <pageMargins left="0.4" right="0.3" top="0.4" bottom="0.25" header="0.3" footer="0.3"/>
  <pageSetup scale="9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EXW</vt:lpstr>
      <vt:lpstr>FCA</vt:lpstr>
      <vt:lpstr>FOB</vt:lpstr>
      <vt:lpstr>EXW Tiếng Trung</vt:lpstr>
      <vt:lpstr>EXW!Print_Area</vt:lpstr>
      <vt:lpstr>'EXW Tiếng Trung'!Print_Area</vt:lpstr>
      <vt:lpstr>FCA!Print_Area</vt:lpstr>
      <vt:lpstr>FOB!Print_Area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2026-08-11T12:13:34Z</cp:lastPrinted>
  <dcterms:created xsi:type="dcterms:W3CDTF">2025-06-03T10:13:46Z</dcterms:created>
  <dcterms:modified xsi:type="dcterms:W3CDTF">2026-10-09T09:47:55Z</dcterms:modified>
</cp:coreProperties>
</file>