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dmin\Documents\LP\BÁO GIÁ\"/>
    </mc:Choice>
  </mc:AlternateContent>
  <xr:revisionPtr revIDLastSave="0" documentId="13_ncr:1_{3858002E-0A19-4BF4-B3D2-C2ED4ADE60DB}" xr6:coauthVersionLast="47" xr6:coauthVersionMax="47" xr10:uidLastSave="{00000000-0000-0000-0000-000000000000}"/>
  <bookViews>
    <workbookView xWindow="-48" yWindow="-48" windowWidth="23136" windowHeight="12456" activeTab="3" xr2:uid="{EF7CBCA7-8833-41CC-8652-389A50DA161D}"/>
  </bookViews>
  <sheets>
    <sheet name="FCA" sheetId="4" r:id="rId1"/>
    <sheet name="FOB" sheetId="3" r:id="rId2"/>
    <sheet name="EXW" sheetId="1" r:id="rId3"/>
    <sheet name="CIF" sheetId="2" r:id="rId4"/>
  </sheets>
  <externalReferences>
    <externalReference r:id="rId5"/>
  </externalReferences>
  <definedNames>
    <definedName name="_xlnm.Print_Area" localSheetId="3">CIF!$A$1:$J$41</definedName>
    <definedName name="_xlnm.Print_Area" localSheetId="2">EXW!$A$1:$J$55</definedName>
    <definedName name="_xlnm.Print_Area" localSheetId="0">FCA!$A$1:$J$54</definedName>
    <definedName name="_xlnm.Print_Area" localSheetId="1">FOB!$A$1:$J$44</definedName>
    <definedName name="Sheet2">#REF!</definedName>
    <definedName name="Sheet31">[1]Sheet3!$A$5:$A$9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4" l="1"/>
  <c r="H31" i="4"/>
  <c r="H30" i="4"/>
  <c r="H28" i="4"/>
  <c r="H27" i="4"/>
  <c r="H24" i="4"/>
  <c r="H21" i="4"/>
  <c r="H18" i="4"/>
  <c r="H29" i="4"/>
  <c r="G32" i="1"/>
  <c r="H32" i="1" s="1"/>
  <c r="G22" i="4"/>
  <c r="H22" i="4" s="1"/>
  <c r="G29" i="4"/>
  <c r="G23" i="4"/>
  <c r="H23" i="4" s="1"/>
  <c r="C21" i="4"/>
  <c r="G21" i="4" s="1"/>
  <c r="C23" i="1"/>
  <c r="C28" i="4"/>
  <c r="C27" i="4"/>
  <c r="G27" i="4" s="1"/>
  <c r="G28" i="4" l="1"/>
  <c r="G32" i="4" l="1"/>
  <c r="G31" i="4"/>
  <c r="G30" i="4"/>
  <c r="G24" i="4"/>
  <c r="G18" i="4"/>
  <c r="H25" i="3"/>
  <c r="G25" i="3"/>
  <c r="G24" i="3"/>
  <c r="G23" i="3"/>
  <c r="H23" i="3" s="1"/>
  <c r="C21" i="3"/>
  <c r="G21" i="3" s="1"/>
  <c r="H21" i="3" s="1"/>
  <c r="G18" i="3"/>
  <c r="G23" i="1"/>
  <c r="H23" i="1" s="1"/>
  <c r="G21" i="1"/>
  <c r="H21" i="1" s="1"/>
  <c r="G22" i="1"/>
  <c r="H22" i="1" s="1"/>
  <c r="G24" i="1"/>
  <c r="H24" i="1" s="1"/>
  <c r="G25" i="1"/>
  <c r="H25" i="1" s="1"/>
  <c r="C28" i="1"/>
  <c r="G34" i="4" l="1"/>
  <c r="C22" i="3"/>
  <c r="G22" i="3" s="1"/>
  <c r="H22" i="3" s="1"/>
  <c r="G27" i="3"/>
  <c r="H18" i="3"/>
  <c r="G23" i="2"/>
  <c r="H23" i="2" s="1"/>
  <c r="G22" i="2"/>
  <c r="G21" i="2"/>
  <c r="H21" i="2" s="1"/>
  <c r="G19" i="2"/>
  <c r="H19" i="2" s="1"/>
  <c r="G17" i="2"/>
  <c r="H17" i="2" s="1"/>
  <c r="G33" i="1"/>
  <c r="H33" i="1" s="1"/>
  <c r="G31" i="1"/>
  <c r="H31" i="1" s="1"/>
  <c r="G30" i="1"/>
  <c r="H30" i="1" s="1"/>
  <c r="G18" i="1"/>
  <c r="H18" i="1" s="1"/>
  <c r="H34" i="4" l="1"/>
  <c r="H27" i="3"/>
  <c r="C18" i="2"/>
  <c r="C20" i="2" s="1"/>
  <c r="G20" i="2" s="1"/>
  <c r="H20" i="2" s="1"/>
  <c r="G28" i="1" l="1"/>
  <c r="H28" i="1" s="1"/>
  <c r="C29" i="1"/>
  <c r="G29" i="1" s="1"/>
  <c r="H29" i="1" s="1"/>
  <c r="G18" i="2"/>
  <c r="H18" i="2" s="1"/>
  <c r="H25" i="2" s="1"/>
  <c r="H35" i="1" l="1"/>
  <c r="G35" i="1"/>
  <c r="G25" i="2"/>
</calcChain>
</file>

<file path=xl/sharedStrings.xml><?xml version="1.0" encoding="utf-8"?>
<sst xmlns="http://schemas.openxmlformats.org/spreadsheetml/2006/main" count="246" uniqueCount="117">
  <si>
    <t>LP INTERNATIONAL LOGISTICS AND TRADING COMPANY LIMITED</t>
  </si>
  <si>
    <t xml:space="preserve">  7th Floor, No. 40 Tang Thiet Giap Street, Co Nhue 2 Ward, Bac Tu Liem District, Hanoi City, Vietnam</t>
  </si>
  <si>
    <t>WEBSITE: lpinternationallogistics.com</t>
  </si>
  <si>
    <t>BÁO GIÁ VẬN CHUYỂN</t>
  </si>
  <si>
    <t xml:space="preserve">(Ngày 22 tháng 05 năm 2025) </t>
  </si>
  <si>
    <t>Attention:</t>
  </si>
  <si>
    <t>Company:</t>
  </si>
  <si>
    <t xml:space="preserve">LP xin được gửi lời chào trân trọng tới Anh, Chị và Công Ty </t>
  </si>
  <si>
    <t xml:space="preserve">Dựa trên các thông tin nhận được, chúng tôi xin được gửi tới Anh, Chị và Quý Công ty báo giá dịch vụ như sau: </t>
  </si>
  <si>
    <t>1, Cước vận chuyển quốc tế</t>
  </si>
  <si>
    <t>Cảng xếp</t>
  </si>
  <si>
    <t>Cảng hạ</t>
  </si>
  <si>
    <t>Vol</t>
  </si>
  <si>
    <t xml:space="preserve">Đơn vị tính </t>
  </si>
  <si>
    <t>Đơn giá
(USD)</t>
  </si>
  <si>
    <t>Thành tiền
(USD)</t>
  </si>
  <si>
    <t xml:space="preserve">Đơn giá VND
(Đã VAT) </t>
  </si>
  <si>
    <t>Số ngày đi tàu</t>
  </si>
  <si>
    <t xml:space="preserve">Ngày ra tàu </t>
  </si>
  <si>
    <t>cbm</t>
  </si>
  <si>
    <t>T2,4,5,6,CN</t>
  </si>
  <si>
    <t xml:space="preserve">Lưu ý khác </t>
  </si>
  <si>
    <t>Phí làm thủ tục Hải quan</t>
  </si>
  <si>
    <t>Tờ khai</t>
  </si>
  <si>
    <t>Lô</t>
  </si>
  <si>
    <t>Phí chứng từ</t>
  </si>
  <si>
    <t>Phí Telex</t>
  </si>
  <si>
    <t>3, Các chi phí tại Việt Nam</t>
  </si>
  <si>
    <t>Phí cầu cảng (THC)</t>
  </si>
  <si>
    <t>Phí cân bằng hàng nhập (CIC)</t>
  </si>
  <si>
    <t>Phí khai thác hàng lẻ (CFS)</t>
  </si>
  <si>
    <t>Phí bốc xếp tại kho</t>
  </si>
  <si>
    <t>Phí lấy lệnh giao hàng</t>
  </si>
  <si>
    <t>lô</t>
  </si>
  <si>
    <t>Phí làm thủ tục HQ</t>
  </si>
  <si>
    <t>tờ khai</t>
  </si>
  <si>
    <t>Chưa bao gồm kiểm hoá</t>
  </si>
  <si>
    <t>Phí giao hàng về kho Bình Phước + nâng hạ tại cảng</t>
  </si>
  <si>
    <t>Chưa bao gồm đường cấm</t>
  </si>
  <si>
    <t xml:space="preserve">Tổng chi phí: </t>
  </si>
  <si>
    <t>T/T: khoảng 4 ngày</t>
  </si>
  <si>
    <t xml:space="preserve">Lưu ý: </t>
  </si>
  <si>
    <t>1, Áp dụng cho hàng hóa thông thường</t>
  </si>
  <si>
    <t xml:space="preserve">2, Không bao gồm các chi phí như: bảo hiểm, lưu cont, lưu bãi và các loại phí phát sinh. </t>
  </si>
  <si>
    <t xml:space="preserve">3, Giá ĐÃ bao gồm VAT 8% cho các chi phí tại Việt Nam và chưa gồm phí kho hàng. </t>
  </si>
  <si>
    <t>4, Tỉ giá theo tỷ giá ngân hàng VCB ngày xuất hoá đơn (Tạm tính 1USD = 26,000 VND)</t>
  </si>
  <si>
    <t>5, Hiệu lực giá cho tới khi có thông báo mới</t>
  </si>
  <si>
    <t>Hà Nội, Ngày 22 tháng 05 năm 2025</t>
  </si>
  <si>
    <t>XÁC NHẬN BÁO GIÁ CỦA KHÁCH HÀNG</t>
  </si>
  <si>
    <t>CÔNG TY TNHH TIẾP VẬN VÀ THƯƠNG MẠI QUỐC TẾ LP</t>
  </si>
  <si>
    <t xml:space="preserve">( Ký tên và đóng dấu) </t>
  </si>
  <si>
    <t>( Ký tên và đóng dấu)</t>
  </si>
  <si>
    <t>………………………………………….</t>
  </si>
  <si>
    <t>--- Thank you for business---</t>
  </si>
  <si>
    <t>CIF 12.1 CBM KLANG - BÌNH PHƯỚC</t>
  </si>
  <si>
    <t>1, Các chi phí tại Việt Nam</t>
  </si>
  <si>
    <t>Shenzhen, 
China</t>
  </si>
  <si>
    <t>Haiphong, 
Việt Nam</t>
  </si>
  <si>
    <t>2,Các chi phí tại China</t>
  </si>
  <si>
    <t>RT</t>
  </si>
  <si>
    <t>5, Hiệu lực giá 30.SEP</t>
  </si>
  <si>
    <t>4, Tỉ giá theo tỷ giá ngân hàng VCB ngày xuất hoá đơn (Tạm tính 1USD = 26,600 VND)</t>
  </si>
  <si>
    <t>5</t>
  </si>
  <si>
    <t>Phí giao hàng về kho Thủ Đức</t>
  </si>
  <si>
    <t>EXW 1 RT SHAN DONG - THỦ ĐỨC</t>
  </si>
  <si>
    <t>8 days</t>
  </si>
  <si>
    <t>T/T: khoảng 8 ngày</t>
  </si>
  <si>
    <t>Ms. Ngọc, Ms. Hạnh</t>
  </si>
  <si>
    <t>LP xin được gửi lời chào trân trọng tới Chị Ngọc, chị Hạnh và Công ty DN</t>
  </si>
  <si>
    <t xml:space="preserve">Dựa trên các thông tin nhận được, chúng tôi xin được gửi tới chị Ngọc, chị Hạnh và Quý Công ty báo giá dịch vụ như sau: </t>
  </si>
  <si>
    <t>Phí LCC tại HCM</t>
  </si>
  <si>
    <t>MS. NGỌC VÀ MS. HẠNH</t>
  </si>
  <si>
    <t xml:space="preserve">(Ngày 22 tháng 09 năm 2025) </t>
  </si>
  <si>
    <t>Hà Nội, Ngày 22 tháng 09 năm 2025</t>
  </si>
  <si>
    <t>Kiểm hoá +1-2tr</t>
  </si>
  <si>
    <t>Haiphong,
Vietnam</t>
  </si>
  <si>
    <t>Khối</t>
  </si>
  <si>
    <t>Phí LCC tại Haiphong</t>
  </si>
  <si>
    <t>Phụ phí tại cảng xuất</t>
  </si>
  <si>
    <t>Cbm</t>
  </si>
  <si>
    <t>2,Các chi phí tại Korea</t>
  </si>
  <si>
    <t>Phí kho hàng lẻ</t>
  </si>
  <si>
    <r>
      <t xml:space="preserve">WEBSITE: </t>
    </r>
    <r>
      <rPr>
        <b/>
        <i/>
        <u/>
        <sz val="14"/>
        <color theme="1"/>
        <rFont val="Times New Roman"/>
        <family val="1"/>
      </rPr>
      <t>lpinternationallogistics.com</t>
    </r>
  </si>
  <si>
    <t>Phí khai báo hải quan</t>
  </si>
  <si>
    <t>5, Hiệu lực giá: Cho đến khi có thông báo mới</t>
  </si>
  <si>
    <t>Hải Phòng, 
Việt Nam</t>
  </si>
  <si>
    <t>Phí LCC tại Hải Phòng</t>
  </si>
  <si>
    <t>4, Tỉ giá theo tỷ giá ngân hàng VCB ngày xuất hoá đơn (Tạm tính 1USD = 26,500 VND)</t>
  </si>
  <si>
    <t>Phí lưu kho</t>
  </si>
  <si>
    <t>20k VND / CBM / NGÀY</t>
  </si>
  <si>
    <t>Nhiều ngày</t>
  </si>
  <si>
    <t>Phí giao hàng về kho QL 10 Nam Định</t>
  </si>
  <si>
    <r>
      <t>WEBSITE:</t>
    </r>
    <r>
      <rPr>
        <i/>
        <sz val="14"/>
        <color theme="1"/>
        <rFont val="Times New Roman"/>
        <family val="1"/>
      </rPr>
      <t xml:space="preserve"> </t>
    </r>
    <r>
      <rPr>
        <b/>
        <i/>
        <u/>
        <sz val="14"/>
        <color theme="1"/>
        <rFont val="Times New Roman"/>
        <family val="1"/>
      </rPr>
      <t>lpinternationallogistics.com</t>
    </r>
  </si>
  <si>
    <t>Tel: + 84 852 502 027             Email: Sales@lpinternationallogsitcs.com</t>
  </si>
  <si>
    <t>Tel: + 84 852 502 027             Email: Sales@lpinternationallogistics.com</t>
  </si>
  <si>
    <t>Shekou,
China</t>
  </si>
  <si>
    <t>Phí lấy hàng tại nhà máy</t>
  </si>
  <si>
    <t>(Luồng đỏ)</t>
  </si>
  <si>
    <t>Phí kiểm hoá HQ</t>
  </si>
  <si>
    <t>(Dự kiến, k hoá đơn)</t>
  </si>
  <si>
    <t>Phí giao hàng về kho Bắc Ninh</t>
  </si>
  <si>
    <t xml:space="preserve">Dựa trên các thông tin nhận được, chúng tôi xin được gửi tới chị Quỳnh và Quý Công ty báo giá dịch vụ như sau: </t>
  </si>
  <si>
    <t>3 days</t>
  </si>
  <si>
    <t>5, Hiệu lực giá 30.JUN</t>
  </si>
  <si>
    <t xml:space="preserve">(Ngày 22 tháng 06 năm 2026) </t>
  </si>
  <si>
    <t>EXW 5.733 CBM GUANGZHOU-BAC NINH</t>
  </si>
  <si>
    <t>Hà Nội, Ngày 22 tháng 06 năm 2026</t>
  </si>
  <si>
    <t>LP xin được gửi lời chào trân trọng tới Chị Quỳnh và Công ty</t>
  </si>
  <si>
    <t>Dựa trên các thông tin nhận được, chúng tôi xin được gửi tới Anh Dũng và chị  và Quý Công ty báo giá dịch vụ như sau:</t>
  </si>
  <si>
    <t>Tel: + 84 852 502 027                                                   Email: Sales@lpinternationallogistics.com</t>
  </si>
  <si>
    <t>Shanghai, 
China</t>
  </si>
  <si>
    <t>FCA 8.5 RT SHANGHAI - NAM ĐỊNH</t>
  </si>
  <si>
    <t>6-8 days</t>
  </si>
  <si>
    <t>T/T: khoảng 6-8 ngày</t>
  </si>
  <si>
    <t xml:space="preserve">(Ngày 16 tháng 09 năm 2026) </t>
  </si>
  <si>
    <t>Hà Nội, Ngày 16 tháng 09 năm 2026</t>
  </si>
  <si>
    <t>LP xin được gửi lời chào trân trọng tới Anh Dũng, chị Thu và Công 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</si>
</sst>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Wide Lati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name val="Times New Roman"/>
      <family val="1"/>
    </font>
    <font>
      <b/>
      <sz val="11"/>
      <color theme="0"/>
      <name val="Times New Roman"/>
      <family val="1"/>
    </font>
    <font>
      <b/>
      <i/>
      <u/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b/>
      <i/>
      <sz val="8"/>
      <name val="Times New Roman"/>
      <family val="1"/>
    </font>
    <font>
      <sz val="12"/>
      <name val="Times New Roman"/>
      <family val="1"/>
    </font>
    <font>
      <sz val="12"/>
      <color rgb="FF003399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rgb="FF003399"/>
      <name val="Times New Roman"/>
      <family val="1"/>
    </font>
    <font>
      <sz val="11"/>
      <color rgb="FF003399"/>
      <name val="Times New Roman"/>
      <family val="1"/>
    </font>
    <font>
      <i/>
      <sz val="11"/>
      <color rgb="FF000099"/>
      <name val="Times New Roman"/>
      <family val="1"/>
    </font>
    <font>
      <i/>
      <sz val="14"/>
      <color theme="1"/>
      <name val="Times New Roman"/>
      <family val="1"/>
    </font>
    <font>
      <b/>
      <i/>
      <u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84">
    <xf numFmtId="0" fontId="0" fillId="0" borderId="0" xfId="0"/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43" fontId="4" fillId="0" borderId="0" xfId="1" applyFont="1" applyAlignment="1" applyProtection="1">
      <alignment horizontal="center"/>
      <protection locked="0"/>
    </xf>
    <xf numFmtId="43" fontId="4" fillId="0" borderId="0" xfId="1" applyFo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43" fontId="9" fillId="0" borderId="0" xfId="1" applyFont="1" applyFill="1" applyBorder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43" fontId="4" fillId="0" borderId="2" xfId="1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43" fontId="4" fillId="0" borderId="0" xfId="0" applyNumberFormat="1" applyFont="1" applyProtection="1">
      <protection locked="0"/>
    </xf>
    <xf numFmtId="164" fontId="10" fillId="0" borderId="2" xfId="1" applyNumberFormat="1" applyFont="1" applyBorder="1" applyAlignment="1" applyProtection="1">
      <alignment vertical="center" wrapText="1"/>
      <protection locked="0"/>
    </xf>
    <xf numFmtId="49" fontId="4" fillId="0" borderId="3" xfId="1" applyNumberFormat="1" applyFont="1" applyBorder="1" applyAlignment="1" applyProtection="1">
      <alignment horizontal="center" vertical="center" wrapText="1"/>
      <protection locked="0"/>
    </xf>
    <xf numFmtId="165" fontId="4" fillId="0" borderId="3" xfId="1" applyNumberFormat="1" applyFont="1" applyBorder="1" applyAlignment="1" applyProtection="1">
      <alignment horizontal="center" vertical="center" wrapText="1"/>
      <protection locked="0"/>
    </xf>
    <xf numFmtId="49" fontId="4" fillId="0" borderId="2" xfId="1" applyNumberFormat="1" applyFont="1" applyBorder="1" applyAlignment="1" applyProtection="1">
      <alignment horizontal="center" vertical="center" wrapText="1"/>
      <protection locked="0"/>
    </xf>
    <xf numFmtId="165" fontId="4" fillId="0" borderId="0" xfId="1" applyNumberFormat="1" applyFont="1" applyProtection="1"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43" fontId="4" fillId="0" borderId="0" xfId="1" applyFont="1" applyBorder="1" applyAlignment="1" applyProtection="1">
      <alignment vertical="center" wrapText="1"/>
      <protection locked="0"/>
    </xf>
    <xf numFmtId="43" fontId="4" fillId="0" borderId="0" xfId="1" applyFont="1" applyBorder="1" applyAlignment="1" applyProtection="1">
      <alignment horizontal="center" vertical="center" wrapText="1"/>
      <protection locked="0"/>
    </xf>
    <xf numFmtId="49" fontId="4" fillId="0" borderId="0" xfId="1" applyNumberFormat="1" applyFont="1" applyBorder="1" applyAlignment="1" applyProtection="1">
      <alignment horizontal="center" vertical="center" wrapText="1"/>
      <protection locked="0"/>
    </xf>
    <xf numFmtId="43" fontId="4" fillId="0" borderId="2" xfId="1" applyFont="1" applyBorder="1" applyAlignment="1" applyProtection="1">
      <alignment vertical="center" wrapText="1"/>
      <protection locked="0"/>
    </xf>
    <xf numFmtId="43" fontId="4" fillId="0" borderId="3" xfId="1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43" fontId="10" fillId="0" borderId="2" xfId="1" applyFont="1" applyBorder="1" applyAlignment="1" applyProtection="1">
      <alignment vertical="center" wrapText="1"/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43" fontId="11" fillId="2" borderId="0" xfId="1" applyFont="1" applyFill="1" applyBorder="1" applyAlignment="1" applyProtection="1">
      <alignment horizontal="center" vertical="center"/>
      <protection locked="0"/>
    </xf>
    <xf numFmtId="165" fontId="11" fillId="2" borderId="0" xfId="1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left"/>
      <protection locked="0"/>
    </xf>
    <xf numFmtId="165" fontId="4" fillId="0" borderId="0" xfId="1" applyNumberFormat="1" applyFont="1" applyBorder="1" applyAlignment="1" applyProtection="1">
      <alignment horizontal="center" vertical="center" wrapText="1"/>
      <protection locked="0"/>
    </xf>
    <xf numFmtId="0" fontId="13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15" fillId="0" borderId="0" xfId="0" applyFon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0" fillId="0" borderId="0" xfId="2" applyFont="1" applyProtection="1">
      <protection locked="0"/>
    </xf>
    <xf numFmtId="0" fontId="21" fillId="0" borderId="0" xfId="0" applyFont="1" applyProtection="1">
      <protection locked="0"/>
    </xf>
    <xf numFmtId="43" fontId="2" fillId="0" borderId="0" xfId="1" applyFont="1" applyProtection="1">
      <protection locked="0"/>
    </xf>
    <xf numFmtId="0" fontId="16" fillId="0" borderId="0" xfId="0" applyFont="1" applyAlignment="1" applyProtection="1">
      <alignment horizontal="center"/>
      <protection locked="0"/>
    </xf>
    <xf numFmtId="49" fontId="11" fillId="2" borderId="0" xfId="1" applyNumberFormat="1" applyFont="1" applyFill="1" applyBorder="1" applyAlignment="1" applyProtection="1">
      <alignment horizontal="center" vertical="center"/>
      <protection locked="0"/>
    </xf>
    <xf numFmtId="43" fontId="4" fillId="3" borderId="2" xfId="1" applyFont="1" applyFill="1" applyBorder="1" applyAlignment="1" applyProtection="1">
      <alignment vertical="center" wrapText="1"/>
      <protection locked="0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43" fontId="4" fillId="3" borderId="3" xfId="1" applyFont="1" applyFill="1" applyBorder="1" applyAlignment="1" applyProtection="1">
      <alignment horizontal="center" vertical="center" wrapText="1"/>
      <protection locked="0"/>
    </xf>
    <xf numFmtId="165" fontId="4" fillId="3" borderId="3" xfId="1" applyNumberFormat="1" applyFont="1" applyFill="1" applyBorder="1" applyAlignment="1" applyProtection="1">
      <alignment horizontal="center" vertical="center" wrapText="1"/>
      <protection locked="0"/>
    </xf>
    <xf numFmtId="0" fontId="4" fillId="3" borderId="0" xfId="0" applyFont="1" applyFill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wrapText="1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49" fontId="4" fillId="0" borderId="3" xfId="1" applyNumberFormat="1" applyFont="1" applyBorder="1" applyAlignment="1" applyProtection="1">
      <alignment horizontal="center" vertical="center" wrapText="1"/>
      <protection locked="0"/>
    </xf>
    <xf numFmtId="49" fontId="4" fillId="0" borderId="4" xfId="1" applyNumberFormat="1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49" fontId="11" fillId="2" borderId="0" xfId="0" applyNumberFormat="1" applyFont="1" applyFill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vertical="center" wrapText="1"/>
      <protection locked="0"/>
    </xf>
    <xf numFmtId="0" fontId="4" fillId="0" borderId="4" xfId="0" applyFont="1" applyBorder="1" applyAlignment="1" applyProtection="1">
      <alignment vertical="center" wrapText="1"/>
      <protection locked="0"/>
    </xf>
    <xf numFmtId="43" fontId="4" fillId="0" borderId="3" xfId="1" applyFont="1" applyBorder="1" applyAlignment="1" applyProtection="1">
      <alignment horizontal="center" vertical="center" wrapText="1"/>
      <protection locked="0"/>
    </xf>
    <xf numFmtId="43" fontId="4" fillId="0" borderId="4" xfId="1" applyFont="1" applyBorder="1" applyAlignment="1" applyProtection="1">
      <alignment horizontal="center" vertical="center" wrapText="1"/>
      <protection locked="0"/>
    </xf>
    <xf numFmtId="49" fontId="22" fillId="0" borderId="0" xfId="0" applyNumberFormat="1" applyFont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 vertical="top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/>
      <protection locked="0"/>
    </xf>
    <xf numFmtId="43" fontId="4" fillId="0" borderId="5" xfId="1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 applyProtection="1">
      <alignment vertical="center" wrapText="1"/>
      <protection locked="0"/>
    </xf>
    <xf numFmtId="0" fontId="4" fillId="3" borderId="4" xfId="0" applyFont="1" applyFill="1" applyBorder="1" applyAlignment="1" applyProtection="1">
      <alignment vertical="center" wrapText="1"/>
      <protection locked="0"/>
    </xf>
    <xf numFmtId="43" fontId="4" fillId="3" borderId="3" xfId="1" applyFont="1" applyFill="1" applyBorder="1" applyAlignment="1" applyProtection="1">
      <alignment horizontal="center" vertical="center" wrapText="1"/>
      <protection locked="0"/>
    </xf>
    <xf numFmtId="43" fontId="4" fillId="3" borderId="4" xfId="1" applyFont="1" applyFill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 applyProtection="1">
      <alignment horizontal="center" vertical="center" wrapText="1"/>
      <protection locked="0"/>
    </xf>
    <xf numFmtId="0" fontId="4" fillId="3" borderId="4" xfId="0" applyFont="1" applyFill="1" applyBorder="1" applyAlignment="1" applyProtection="1">
      <alignment horizontal="center" vertical="center" wrapText="1"/>
      <protection locked="0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0</xdr:row>
      <xdr:rowOff>76200</xdr:rowOff>
    </xdr:from>
    <xdr:to>
      <xdr:col>1</xdr:col>
      <xdr:colOff>30480</xdr:colOff>
      <xdr:row>4</xdr:row>
      <xdr:rowOff>168547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CDD0E-23E9-4435-BDA6-4F3DF4F02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76200"/>
          <a:ext cx="853439" cy="8848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0</xdr:row>
      <xdr:rowOff>76200</xdr:rowOff>
    </xdr:from>
    <xdr:to>
      <xdr:col>1</xdr:col>
      <xdr:colOff>30480</xdr:colOff>
      <xdr:row>4</xdr:row>
      <xdr:rowOff>168547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1E6B9C-D652-4737-AB26-7056C2233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76200"/>
          <a:ext cx="853439" cy="8848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0</xdr:row>
      <xdr:rowOff>76200</xdr:rowOff>
    </xdr:from>
    <xdr:to>
      <xdr:col>1</xdr:col>
      <xdr:colOff>30480</xdr:colOff>
      <xdr:row>4</xdr:row>
      <xdr:rowOff>168547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8C6D16-1507-4A01-9862-DD25D3D7B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76200"/>
          <a:ext cx="853439" cy="8848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0</xdr:row>
      <xdr:rowOff>76200</xdr:rowOff>
    </xdr:from>
    <xdr:to>
      <xdr:col>1</xdr:col>
      <xdr:colOff>30480</xdr:colOff>
      <xdr:row>4</xdr:row>
      <xdr:rowOff>168547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F565-5D40-46E7-9EF0-ABC46DEBD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76200"/>
          <a:ext cx="853439" cy="8848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Personal%20data/Rong%20Viet%20Logistics/B&#225;o%20gi&#225;%20kh&#225;ch%20h&#224;ng/Canzy%20Vietnam-%20Melinh%20Jsc/13.4%20Final%20quotation/Ph&#432;&#417;ng%20&#225;n%20kinh%20doanh%20h&#224;ng%20Rongqui%20(%20L&#244;%205-%20cont%2040)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 40 Rongqui"/>
      <sheetName val="Sheet3"/>
      <sheetName val="Sheet4"/>
    </sheetNames>
    <sheetDataSet>
      <sheetData sheetId="0" refreshError="1"/>
      <sheetData sheetId="1">
        <row r="5">
          <cell r="A5" t="str">
            <v>Cont 20</v>
          </cell>
        </row>
        <row r="6">
          <cell r="A6" t="str">
            <v>Cont 40</v>
          </cell>
        </row>
        <row r="7">
          <cell r="A7" t="str">
            <v>CBM</v>
          </cell>
        </row>
        <row r="8">
          <cell r="A8" t="str">
            <v>KGs</v>
          </cell>
        </row>
        <row r="9">
          <cell r="A9" t="str">
            <v xml:space="preserve">Shipment 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6F50-EA7B-40F9-9FEA-D7F10C72DF59}">
  <sheetPr>
    <pageSetUpPr fitToPage="1"/>
  </sheetPr>
  <dimension ref="A1:M59"/>
  <sheetViews>
    <sheetView showGridLines="0" zoomScaleNormal="100" zoomScaleSheetLayoutView="100" workbookViewId="0">
      <selection activeCell="H13" sqref="H13"/>
    </sheetView>
  </sheetViews>
  <sheetFormatPr defaultColWidth="9.109375" defaultRowHeight="15.6" x14ac:dyDescent="0.3"/>
  <cols>
    <col min="1" max="1" width="12.88671875" style="1" customWidth="1"/>
    <col min="2" max="2" width="13.5546875" style="1" customWidth="1"/>
    <col min="3" max="3" width="8.109375" style="41" customWidth="1"/>
    <col min="4" max="4" width="9.109375" style="1" customWidth="1"/>
    <col min="5" max="5" width="7" style="1" customWidth="1"/>
    <col min="6" max="6" width="2.5546875" style="1" customWidth="1"/>
    <col min="7" max="7" width="10.6640625" style="1" customWidth="1"/>
    <col min="8" max="8" width="12.77734375" style="1" customWidth="1"/>
    <col min="9" max="9" width="11.33203125" style="1" customWidth="1"/>
    <col min="10" max="10" width="14.33203125" style="1" customWidth="1"/>
    <col min="11" max="11" width="10.44140625" style="1" bestFit="1" customWidth="1"/>
    <col min="12" max="13" width="14" style="1" bestFit="1" customWidth="1"/>
    <col min="14" max="16384" width="9.109375" style="1"/>
  </cols>
  <sheetData>
    <row r="1" spans="1:10" ht="15.75" customHeight="1" x14ac:dyDescent="0.3">
      <c r="B1" s="49" t="s">
        <v>0</v>
      </c>
      <c r="C1" s="49"/>
      <c r="D1" s="49"/>
      <c r="E1" s="49"/>
      <c r="F1" s="49"/>
      <c r="G1" s="49"/>
      <c r="H1" s="49"/>
      <c r="I1" s="49"/>
      <c r="J1" s="49"/>
    </row>
    <row r="2" spans="1:10" ht="11.4" customHeight="1" x14ac:dyDescent="0.3">
      <c r="B2" s="49"/>
      <c r="C2" s="49"/>
      <c r="D2" s="49"/>
      <c r="E2" s="49"/>
      <c r="F2" s="49"/>
      <c r="G2" s="49"/>
      <c r="H2" s="49"/>
      <c r="I2" s="49"/>
      <c r="J2" s="49"/>
    </row>
    <row r="3" spans="1:10" ht="15.75" customHeight="1" x14ac:dyDescent="0.3">
      <c r="B3" s="50" t="s">
        <v>1</v>
      </c>
      <c r="C3" s="50"/>
      <c r="D3" s="50"/>
      <c r="E3" s="50"/>
      <c r="F3" s="50"/>
      <c r="G3" s="50"/>
      <c r="H3" s="50"/>
      <c r="I3" s="50"/>
      <c r="J3" s="50"/>
    </row>
    <row r="4" spans="1:10" ht="19.8" customHeight="1" x14ac:dyDescent="0.35">
      <c r="B4" s="51" t="s">
        <v>82</v>
      </c>
      <c r="C4" s="51"/>
      <c r="D4" s="51"/>
      <c r="E4" s="51"/>
      <c r="F4" s="51"/>
      <c r="G4" s="51"/>
      <c r="H4" s="51"/>
      <c r="I4" s="51"/>
      <c r="J4" s="51"/>
    </row>
    <row r="5" spans="1:10" ht="19.5" customHeight="1" thickBot="1" x14ac:dyDescent="0.35">
      <c r="A5" s="2"/>
      <c r="B5" s="52" t="s">
        <v>109</v>
      </c>
      <c r="C5" s="52"/>
      <c r="D5" s="52"/>
      <c r="E5" s="52"/>
      <c r="F5" s="52"/>
      <c r="G5" s="52"/>
      <c r="H5" s="52"/>
      <c r="I5" s="52"/>
      <c r="J5" s="52"/>
    </row>
    <row r="6" spans="1:10" s="3" customFormat="1" ht="9.75" customHeight="1" thickTop="1" x14ac:dyDescent="0.3">
      <c r="C6" s="53"/>
      <c r="D6" s="54"/>
      <c r="E6" s="54"/>
      <c r="F6" s="54"/>
    </row>
    <row r="7" spans="1:10" s="3" customFormat="1" ht="18.600000000000001" customHeight="1" x14ac:dyDescent="0.35">
      <c r="A7" s="55" t="s">
        <v>3</v>
      </c>
      <c r="B7" s="55"/>
      <c r="C7" s="55"/>
      <c r="D7" s="55"/>
      <c r="E7" s="55"/>
      <c r="F7" s="55"/>
      <c r="G7" s="55"/>
      <c r="H7" s="55"/>
      <c r="I7" s="55"/>
      <c r="J7" s="55"/>
    </row>
    <row r="8" spans="1:10" s="3" customFormat="1" ht="15.9" customHeight="1" x14ac:dyDescent="0.25">
      <c r="A8" s="56" t="s">
        <v>114</v>
      </c>
      <c r="B8" s="56"/>
      <c r="C8" s="56"/>
      <c r="D8" s="56"/>
      <c r="E8" s="56"/>
      <c r="F8" s="56"/>
      <c r="G8" s="56"/>
      <c r="H8" s="56"/>
      <c r="I8" s="56"/>
      <c r="J8" s="56"/>
    </row>
    <row r="9" spans="1:10" s="3" customFormat="1" ht="6" customHeight="1" x14ac:dyDescent="0.25">
      <c r="A9" s="4"/>
      <c r="B9" s="4"/>
      <c r="C9" s="5"/>
      <c r="D9" s="4"/>
      <c r="E9" s="4"/>
      <c r="F9" s="4"/>
      <c r="G9" s="4"/>
      <c r="H9" s="4"/>
      <c r="I9" s="4"/>
      <c r="J9" s="4"/>
    </row>
    <row r="10" spans="1:10" s="3" customFormat="1" ht="15.9" customHeight="1" x14ac:dyDescent="0.25">
      <c r="A10" s="3" t="s">
        <v>5</v>
      </c>
      <c r="C10" s="6"/>
      <c r="G10" s="7"/>
    </row>
    <row r="11" spans="1:10" s="3" customFormat="1" ht="15.9" customHeight="1" x14ac:dyDescent="0.25">
      <c r="A11" s="3" t="s">
        <v>6</v>
      </c>
      <c r="C11" s="6"/>
      <c r="G11" s="7"/>
    </row>
    <row r="12" spans="1:10" s="3" customFormat="1" ht="6.6" customHeight="1" x14ac:dyDescent="0.25">
      <c r="C12" s="6"/>
    </row>
    <row r="13" spans="1:10" s="3" customFormat="1" ht="15.9" customHeight="1" x14ac:dyDescent="0.25">
      <c r="A13" s="3" t="s">
        <v>116</v>
      </c>
      <c r="C13" s="6"/>
    </row>
    <row r="14" spans="1:10" s="3" customFormat="1" ht="15.9" customHeight="1" x14ac:dyDescent="0.25">
      <c r="A14" s="3" t="s">
        <v>108</v>
      </c>
      <c r="C14" s="6"/>
    </row>
    <row r="15" spans="1:10" s="3" customFormat="1" ht="5.4" customHeight="1" x14ac:dyDescent="0.25">
      <c r="A15" s="57"/>
      <c r="B15" s="57"/>
      <c r="C15" s="57"/>
      <c r="D15" s="57"/>
      <c r="E15" s="57"/>
      <c r="F15" s="57"/>
      <c r="G15" s="8"/>
      <c r="H15" s="8"/>
      <c r="I15" s="57"/>
      <c r="J15" s="57"/>
    </row>
    <row r="16" spans="1:10" s="3" customFormat="1" ht="13.8" x14ac:dyDescent="0.25">
      <c r="A16" s="9" t="s">
        <v>9</v>
      </c>
      <c r="C16" s="6"/>
    </row>
    <row r="17" spans="1:13" s="3" customFormat="1" ht="27.6" x14ac:dyDescent="0.25">
      <c r="A17" s="10" t="s">
        <v>10</v>
      </c>
      <c r="B17" s="10" t="s">
        <v>11</v>
      </c>
      <c r="C17" s="11" t="s">
        <v>12</v>
      </c>
      <c r="D17" s="10" t="s">
        <v>13</v>
      </c>
      <c r="E17" s="58" t="s">
        <v>14</v>
      </c>
      <c r="F17" s="59"/>
      <c r="G17" s="12" t="s">
        <v>15</v>
      </c>
      <c r="H17" s="12" t="s">
        <v>16</v>
      </c>
      <c r="I17" s="10" t="s">
        <v>17</v>
      </c>
      <c r="J17" s="10" t="s">
        <v>18</v>
      </c>
      <c r="K17" s="13"/>
      <c r="M17" s="13"/>
    </row>
    <row r="18" spans="1:13" s="3" customFormat="1" ht="27.6" x14ac:dyDescent="0.25">
      <c r="A18" s="10" t="s">
        <v>110</v>
      </c>
      <c r="B18" s="10" t="s">
        <v>85</v>
      </c>
      <c r="C18" s="14">
        <v>10.9</v>
      </c>
      <c r="D18" s="10" t="s">
        <v>19</v>
      </c>
      <c r="E18" s="60" t="s">
        <v>62</v>
      </c>
      <c r="F18" s="61"/>
      <c r="G18" s="15">
        <f>E18*C18</f>
        <v>54.5</v>
      </c>
      <c r="H18" s="16">
        <f>G18*26180</f>
        <v>1426810</v>
      </c>
      <c r="I18" s="17" t="s">
        <v>112</v>
      </c>
      <c r="J18" s="10" t="s">
        <v>90</v>
      </c>
      <c r="K18" s="13"/>
      <c r="M18" s="18"/>
    </row>
    <row r="19" spans="1:13" s="3" customFormat="1" ht="9.9" customHeight="1" x14ac:dyDescent="0.25">
      <c r="A19" s="19"/>
      <c r="B19" s="19"/>
      <c r="C19" s="20"/>
      <c r="D19" s="19"/>
      <c r="E19" s="21"/>
      <c r="F19" s="21"/>
      <c r="G19" s="21"/>
      <c r="H19" s="21"/>
      <c r="I19" s="22"/>
      <c r="J19" s="19"/>
    </row>
    <row r="20" spans="1:13" s="3" customFormat="1" ht="15.9" customHeight="1" x14ac:dyDescent="0.25">
      <c r="A20" s="9" t="s">
        <v>58</v>
      </c>
      <c r="B20" s="19"/>
      <c r="C20" s="20"/>
      <c r="D20" s="19"/>
      <c r="E20" s="21"/>
      <c r="F20" s="21"/>
      <c r="G20" s="21"/>
      <c r="H20" s="21"/>
      <c r="I20" s="62" t="s">
        <v>21</v>
      </c>
      <c r="J20" s="63"/>
      <c r="M20" s="13"/>
    </row>
    <row r="21" spans="1:13" s="3" customFormat="1" ht="15.9" customHeight="1" x14ac:dyDescent="0.25">
      <c r="A21" s="66" t="s">
        <v>81</v>
      </c>
      <c r="B21" s="67"/>
      <c r="C21" s="23">
        <f>C18</f>
        <v>10.9</v>
      </c>
      <c r="D21" s="10" t="s">
        <v>19</v>
      </c>
      <c r="E21" s="68">
        <v>15</v>
      </c>
      <c r="F21" s="69"/>
      <c r="G21" s="11">
        <f t="shared" ref="G21:G22" si="0">C21*E21</f>
        <v>163.5</v>
      </c>
      <c r="H21" s="16">
        <f>G21*26180</f>
        <v>4280430</v>
      </c>
      <c r="I21" s="58"/>
      <c r="J21" s="59"/>
      <c r="L21" s="6"/>
    </row>
    <row r="22" spans="1:13" s="3" customFormat="1" ht="15.9" customHeight="1" x14ac:dyDescent="0.25">
      <c r="A22" s="66" t="s">
        <v>83</v>
      </c>
      <c r="B22" s="67"/>
      <c r="C22" s="23">
        <v>1</v>
      </c>
      <c r="D22" s="10" t="s">
        <v>23</v>
      </c>
      <c r="E22" s="68"/>
      <c r="F22" s="69"/>
      <c r="G22" s="11">
        <f t="shared" si="0"/>
        <v>0</v>
      </c>
      <c r="H22" s="16">
        <f t="shared" ref="H22:H23" si="1">G22*26170</f>
        <v>0</v>
      </c>
      <c r="I22" s="58"/>
      <c r="J22" s="59"/>
      <c r="L22" s="6"/>
    </row>
    <row r="23" spans="1:13" s="3" customFormat="1" ht="15.9" customHeight="1" x14ac:dyDescent="0.25">
      <c r="A23" s="66" t="s">
        <v>25</v>
      </c>
      <c r="B23" s="67"/>
      <c r="C23" s="23">
        <v>1</v>
      </c>
      <c r="D23" s="10" t="s">
        <v>24</v>
      </c>
      <c r="E23" s="68"/>
      <c r="F23" s="69"/>
      <c r="G23" s="11">
        <f t="shared" ref="G23" si="2">C23*E23</f>
        <v>0</v>
      </c>
      <c r="H23" s="16">
        <f t="shared" si="1"/>
        <v>0</v>
      </c>
      <c r="I23" s="58"/>
      <c r="J23" s="59"/>
      <c r="L23" s="6"/>
    </row>
    <row r="24" spans="1:13" s="3" customFormat="1" ht="15.9" customHeight="1" x14ac:dyDescent="0.25">
      <c r="A24" s="66" t="s">
        <v>26</v>
      </c>
      <c r="B24" s="67"/>
      <c r="C24" s="23">
        <v>1</v>
      </c>
      <c r="D24" s="10" t="s">
        <v>24</v>
      </c>
      <c r="E24" s="68">
        <v>25</v>
      </c>
      <c r="F24" s="69"/>
      <c r="G24" s="11">
        <f t="shared" ref="G24:G32" si="3">C24*E24</f>
        <v>25</v>
      </c>
      <c r="H24" s="16">
        <f>G24*26180</f>
        <v>654500</v>
      </c>
      <c r="I24" s="58"/>
      <c r="J24" s="59"/>
      <c r="L24" s="6"/>
    </row>
    <row r="25" spans="1:13" s="3" customFormat="1" ht="9" customHeight="1" x14ac:dyDescent="0.25">
      <c r="A25" s="25"/>
      <c r="B25" s="25"/>
      <c r="C25" s="20"/>
      <c r="D25" s="19"/>
      <c r="E25" s="21"/>
      <c r="F25" s="21"/>
      <c r="G25" s="21"/>
      <c r="H25" s="21"/>
      <c r="I25" s="19"/>
      <c r="J25" s="19"/>
    </row>
    <row r="26" spans="1:13" s="3" customFormat="1" ht="15" customHeight="1" x14ac:dyDescent="0.25">
      <c r="A26" s="9" t="s">
        <v>27</v>
      </c>
      <c r="B26" s="19"/>
      <c r="C26" s="20"/>
      <c r="D26" s="19"/>
      <c r="E26" s="21"/>
      <c r="F26" s="21"/>
      <c r="G26" s="21"/>
      <c r="H26" s="21"/>
      <c r="I26" s="77" t="s">
        <v>21</v>
      </c>
      <c r="J26" s="77"/>
    </row>
    <row r="27" spans="1:13" s="3" customFormat="1" ht="15" customHeight="1" x14ac:dyDescent="0.25">
      <c r="A27" s="66" t="s">
        <v>86</v>
      </c>
      <c r="B27" s="67"/>
      <c r="C27" s="23">
        <f>C18</f>
        <v>10.9</v>
      </c>
      <c r="D27" s="10" t="s">
        <v>79</v>
      </c>
      <c r="E27" s="68">
        <v>15</v>
      </c>
      <c r="F27" s="75"/>
      <c r="G27" s="11">
        <f t="shared" ref="G27:G28" si="4">C27*E27</f>
        <v>163.5</v>
      </c>
      <c r="H27" s="16">
        <f>G27*26180*1.08</f>
        <v>4622864.4000000004</v>
      </c>
      <c r="I27" s="76"/>
      <c r="J27" s="76"/>
    </row>
    <row r="28" spans="1:13" s="3" customFormat="1" ht="15" customHeight="1" x14ac:dyDescent="0.25">
      <c r="A28" s="66" t="s">
        <v>31</v>
      </c>
      <c r="B28" s="67"/>
      <c r="C28" s="23">
        <f>C18</f>
        <v>10.9</v>
      </c>
      <c r="D28" s="10" t="s">
        <v>79</v>
      </c>
      <c r="E28" s="68">
        <v>10</v>
      </c>
      <c r="F28" s="75"/>
      <c r="G28" s="11">
        <f t="shared" si="4"/>
        <v>109</v>
      </c>
      <c r="H28" s="16">
        <f>G28*26180*1.08</f>
        <v>3081909.6</v>
      </c>
      <c r="I28" s="76"/>
      <c r="J28" s="76"/>
    </row>
    <row r="29" spans="1:13" s="3" customFormat="1" ht="15" customHeight="1" x14ac:dyDescent="0.25">
      <c r="A29" s="66" t="s">
        <v>88</v>
      </c>
      <c r="B29" s="67"/>
      <c r="C29" s="23">
        <v>8.5</v>
      </c>
      <c r="D29" s="10" t="s">
        <v>79</v>
      </c>
      <c r="E29" s="68"/>
      <c r="F29" s="75"/>
      <c r="G29" s="11">
        <f t="shared" ref="G29" si="5">C29*E29</f>
        <v>0</v>
      </c>
      <c r="H29" s="16">
        <f t="shared" ref="H29" si="6">G29*26170*1.08</f>
        <v>0</v>
      </c>
      <c r="I29" s="76" t="s">
        <v>89</v>
      </c>
      <c r="J29" s="76"/>
    </row>
    <row r="30" spans="1:13" s="3" customFormat="1" ht="15" customHeight="1" x14ac:dyDescent="0.25">
      <c r="A30" s="66" t="s">
        <v>32</v>
      </c>
      <c r="B30" s="67"/>
      <c r="C30" s="23">
        <v>1</v>
      </c>
      <c r="D30" s="10" t="s">
        <v>33</v>
      </c>
      <c r="E30" s="68">
        <v>25</v>
      </c>
      <c r="F30" s="75"/>
      <c r="G30" s="11">
        <f t="shared" si="3"/>
        <v>25</v>
      </c>
      <c r="H30" s="16">
        <f>G30*26180*1.08</f>
        <v>706860</v>
      </c>
      <c r="I30" s="76"/>
      <c r="J30" s="76"/>
    </row>
    <row r="31" spans="1:13" s="3" customFormat="1" ht="15" customHeight="1" x14ac:dyDescent="0.25">
      <c r="A31" s="66" t="s">
        <v>34</v>
      </c>
      <c r="B31" s="67"/>
      <c r="C31" s="23">
        <v>1</v>
      </c>
      <c r="D31" s="10" t="s">
        <v>35</v>
      </c>
      <c r="E31" s="68">
        <v>32</v>
      </c>
      <c r="F31" s="69"/>
      <c r="G31" s="24">
        <f t="shared" si="3"/>
        <v>32</v>
      </c>
      <c r="H31" s="16">
        <f>G31*26180*1.08</f>
        <v>904780.80000000005</v>
      </c>
      <c r="I31" s="58" t="s">
        <v>36</v>
      </c>
      <c r="J31" s="59"/>
    </row>
    <row r="32" spans="1:13" s="3" customFormat="1" ht="30" customHeight="1" x14ac:dyDescent="0.25">
      <c r="A32" s="66" t="s">
        <v>91</v>
      </c>
      <c r="B32" s="67"/>
      <c r="C32" s="23">
        <v>1</v>
      </c>
      <c r="D32" s="10" t="s">
        <v>24</v>
      </c>
      <c r="E32" s="68">
        <v>125</v>
      </c>
      <c r="F32" s="69"/>
      <c r="G32" s="24">
        <f t="shared" si="3"/>
        <v>125</v>
      </c>
      <c r="H32" s="16">
        <f>G32*26180*1.08</f>
        <v>3534300</v>
      </c>
      <c r="I32" s="58" t="s">
        <v>38</v>
      </c>
      <c r="J32" s="59"/>
    </row>
    <row r="33" spans="1:12" s="3" customFormat="1" ht="7.2" customHeight="1" x14ac:dyDescent="0.25">
      <c r="A33" s="25"/>
      <c r="B33" s="25"/>
      <c r="C33" s="20"/>
      <c r="D33" s="19"/>
      <c r="E33" s="21"/>
      <c r="F33" s="21"/>
      <c r="G33" s="21"/>
      <c r="H33" s="21"/>
      <c r="I33" s="19"/>
      <c r="J33" s="19"/>
    </row>
    <row r="34" spans="1:12" s="3" customFormat="1" ht="15.9" customHeight="1" x14ac:dyDescent="0.25">
      <c r="A34" s="27" t="s">
        <v>39</v>
      </c>
      <c r="B34" s="64" t="s">
        <v>111</v>
      </c>
      <c r="C34" s="64"/>
      <c r="D34" s="64"/>
      <c r="E34" s="64"/>
      <c r="F34" s="64"/>
      <c r="G34" s="43">
        <f>SUM(G18:G32)</f>
        <v>697.5</v>
      </c>
      <c r="H34" s="29">
        <f>SUM(H18:H32)</f>
        <v>19212454.800000001</v>
      </c>
      <c r="I34" s="65" t="s">
        <v>113</v>
      </c>
      <c r="J34" s="65"/>
    </row>
    <row r="35" spans="1:12" s="3" customFormat="1" ht="15.75" customHeight="1" x14ac:dyDescent="0.3">
      <c r="A35" s="30" t="s">
        <v>41</v>
      </c>
      <c r="C35" s="20"/>
      <c r="D35" s="19"/>
      <c r="E35" s="31"/>
      <c r="F35" s="31"/>
      <c r="G35" s="31"/>
      <c r="H35" s="31"/>
      <c r="I35" s="13"/>
    </row>
    <row r="36" spans="1:12" s="3" customFormat="1" ht="15.75" customHeight="1" x14ac:dyDescent="0.3">
      <c r="A36" s="30"/>
      <c r="B36" s="32" t="s">
        <v>42</v>
      </c>
      <c r="C36" s="20"/>
      <c r="D36" s="19"/>
      <c r="E36" s="31"/>
      <c r="F36" s="31"/>
      <c r="G36" s="31"/>
      <c r="H36" s="31"/>
      <c r="I36" s="13"/>
      <c r="L36"/>
    </row>
    <row r="37" spans="1:12" s="3" customFormat="1" ht="15.75" customHeight="1" x14ac:dyDescent="0.3">
      <c r="B37" s="32" t="s">
        <v>43</v>
      </c>
      <c r="C37" s="6"/>
      <c r="L37"/>
    </row>
    <row r="38" spans="1:12" s="3" customFormat="1" ht="15.75" customHeight="1" x14ac:dyDescent="0.3">
      <c r="B38" s="33" t="s">
        <v>44</v>
      </c>
      <c r="C38" s="6"/>
      <c r="L38"/>
    </row>
    <row r="39" spans="1:12" s="3" customFormat="1" ht="15.75" customHeight="1" x14ac:dyDescent="0.3">
      <c r="B39" s="32" t="s">
        <v>87</v>
      </c>
      <c r="C39" s="6"/>
      <c r="L39"/>
    </row>
    <row r="40" spans="1:12" s="3" customFormat="1" ht="15.75" customHeight="1" x14ac:dyDescent="0.25">
      <c r="B40" s="32" t="s">
        <v>84</v>
      </c>
      <c r="C40" s="6"/>
    </row>
    <row r="41" spans="1:12" s="3" customFormat="1" ht="8.4" customHeight="1" x14ac:dyDescent="0.25">
      <c r="C41" s="6"/>
    </row>
    <row r="42" spans="1:12" s="35" customFormat="1" ht="15.75" customHeight="1" x14ac:dyDescent="0.25">
      <c r="A42" s="74" t="s">
        <v>115</v>
      </c>
      <c r="B42" s="74"/>
      <c r="C42" s="74"/>
      <c r="D42" s="74"/>
      <c r="F42" s="36"/>
      <c r="G42" s="74" t="s">
        <v>48</v>
      </c>
      <c r="H42" s="74"/>
      <c r="I42" s="74"/>
      <c r="J42" s="74"/>
    </row>
    <row r="43" spans="1:12" s="35" customFormat="1" ht="30" customHeight="1" x14ac:dyDescent="0.25">
      <c r="A43" s="71" t="s">
        <v>49</v>
      </c>
      <c r="B43" s="71"/>
      <c r="C43" s="71"/>
      <c r="D43" s="71"/>
      <c r="E43" s="71"/>
      <c r="F43" s="72"/>
      <c r="G43" s="72"/>
      <c r="H43" s="72"/>
      <c r="I43" s="72"/>
      <c r="J43" s="72"/>
    </row>
    <row r="44" spans="1:12" s="35" customFormat="1" ht="15.75" customHeight="1" x14ac:dyDescent="0.25">
      <c r="A44" s="73" t="s">
        <v>50</v>
      </c>
      <c r="B44" s="73"/>
      <c r="C44" s="73"/>
      <c r="D44" s="73"/>
      <c r="E44" s="73"/>
      <c r="F44" s="73" t="s">
        <v>51</v>
      </c>
      <c r="G44" s="73"/>
      <c r="H44" s="73"/>
      <c r="I44" s="73"/>
      <c r="J44" s="73"/>
    </row>
    <row r="45" spans="1:12" s="35" customFormat="1" ht="15.75" customHeight="1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</row>
    <row r="46" spans="1:12" s="35" customFormat="1" ht="15.75" customHeight="1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</row>
    <row r="47" spans="1:12" s="35" customFormat="1" ht="15.75" customHeight="1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</row>
    <row r="48" spans="1:12" s="35" customFormat="1" ht="15.75" customHeight="1" x14ac:dyDescent="0.3">
      <c r="A48" s="37"/>
    </row>
    <row r="49" spans="1:10" s="35" customFormat="1" ht="15.75" customHeight="1" x14ac:dyDescent="0.3">
      <c r="A49" s="37"/>
    </row>
    <row r="50" spans="1:10" s="35" customFormat="1" ht="15.75" customHeight="1" x14ac:dyDescent="0.3">
      <c r="A50" s="37"/>
    </row>
    <row r="51" spans="1:10" s="40" customFormat="1" ht="15.75" customHeight="1" x14ac:dyDescent="0.3">
      <c r="A51" s="38"/>
      <c r="B51" s="39"/>
    </row>
    <row r="52" spans="1:10" s="3" customFormat="1" ht="15.75" customHeight="1" x14ac:dyDescent="0.25">
      <c r="A52" s="74" t="s">
        <v>52</v>
      </c>
      <c r="B52" s="74"/>
      <c r="C52" s="74"/>
      <c r="D52" s="74"/>
      <c r="E52" s="74"/>
      <c r="F52" s="74" t="s">
        <v>52</v>
      </c>
      <c r="G52" s="74"/>
      <c r="H52" s="74"/>
      <c r="I52" s="74"/>
      <c r="J52" s="74"/>
    </row>
    <row r="53" spans="1:10" s="3" customFormat="1" ht="10.8" customHeight="1" x14ac:dyDescent="0.25">
      <c r="A53" s="34"/>
      <c r="B53" s="34"/>
      <c r="C53" s="34"/>
      <c r="D53" s="34"/>
      <c r="E53" s="34"/>
      <c r="F53" s="34"/>
      <c r="G53" s="34"/>
      <c r="H53" s="34"/>
      <c r="I53" s="34"/>
      <c r="J53" s="34"/>
    </row>
    <row r="54" spans="1:10" s="3" customFormat="1" ht="13.8" x14ac:dyDescent="0.25">
      <c r="A54" s="70" t="s">
        <v>53</v>
      </c>
      <c r="B54" s="70"/>
      <c r="C54" s="70"/>
      <c r="D54" s="70"/>
      <c r="E54" s="70"/>
      <c r="F54" s="70"/>
      <c r="G54" s="70"/>
      <c r="H54" s="70"/>
      <c r="I54" s="70"/>
      <c r="J54" s="70"/>
    </row>
    <row r="55" spans="1:10" s="3" customFormat="1" ht="13.8" x14ac:dyDescent="0.25">
      <c r="C55" s="6"/>
    </row>
    <row r="56" spans="1:10" s="3" customFormat="1" ht="13.8" x14ac:dyDescent="0.25">
      <c r="C56" s="6"/>
    </row>
    <row r="57" spans="1:10" s="3" customFormat="1" ht="13.8" x14ac:dyDescent="0.25">
      <c r="C57" s="6"/>
    </row>
    <row r="58" spans="1:10" s="3" customFormat="1" ht="13.8" x14ac:dyDescent="0.25">
      <c r="C58" s="6"/>
    </row>
    <row r="59" spans="1:10" s="3" customFormat="1" ht="13.8" x14ac:dyDescent="0.25">
      <c r="C59" s="6"/>
    </row>
  </sheetData>
  <mergeCells count="54">
    <mergeCell ref="A22:B22"/>
    <mergeCell ref="E22:F22"/>
    <mergeCell ref="I22:J22"/>
    <mergeCell ref="E29:F29"/>
    <mergeCell ref="I29:J29"/>
    <mergeCell ref="A28:B28"/>
    <mergeCell ref="E28:F28"/>
    <mergeCell ref="I28:J28"/>
    <mergeCell ref="I23:J23"/>
    <mergeCell ref="I26:J26"/>
    <mergeCell ref="A24:B24"/>
    <mergeCell ref="E24:F24"/>
    <mergeCell ref="A27:B27"/>
    <mergeCell ref="E27:F27"/>
    <mergeCell ref="I27:J27"/>
    <mergeCell ref="A42:D42"/>
    <mergeCell ref="G42:J42"/>
    <mergeCell ref="A30:B30"/>
    <mergeCell ref="E30:F30"/>
    <mergeCell ref="I30:J30"/>
    <mergeCell ref="A31:B31"/>
    <mergeCell ref="A54:J54"/>
    <mergeCell ref="A43:E43"/>
    <mergeCell ref="F43:J43"/>
    <mergeCell ref="A44:E44"/>
    <mergeCell ref="F44:J44"/>
    <mergeCell ref="A52:E52"/>
    <mergeCell ref="F52:J52"/>
    <mergeCell ref="E18:F18"/>
    <mergeCell ref="I20:J20"/>
    <mergeCell ref="B34:F34"/>
    <mergeCell ref="I34:J34"/>
    <mergeCell ref="I24:J24"/>
    <mergeCell ref="A21:B21"/>
    <mergeCell ref="E21:F21"/>
    <mergeCell ref="I21:J21"/>
    <mergeCell ref="A23:B23"/>
    <mergeCell ref="E23:F23"/>
    <mergeCell ref="E31:F31"/>
    <mergeCell ref="I31:J31"/>
    <mergeCell ref="A32:B32"/>
    <mergeCell ref="E32:F32"/>
    <mergeCell ref="I32:J32"/>
    <mergeCell ref="A29:B29"/>
    <mergeCell ref="A7:J7"/>
    <mergeCell ref="A8:J8"/>
    <mergeCell ref="A15:F15"/>
    <mergeCell ref="I15:J15"/>
    <mergeCell ref="E17:F17"/>
    <mergeCell ref="B1:J2"/>
    <mergeCell ref="B3:J3"/>
    <mergeCell ref="B4:J4"/>
    <mergeCell ref="B5:J5"/>
    <mergeCell ref="C6:F6"/>
  </mergeCells>
  <pageMargins left="0.4" right="0.3" top="0.4" bottom="0.25" header="0.3" footer="0.3"/>
  <pageSetup scale="9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8331-9CDF-451F-8E98-ABA6FA8F1D15}">
  <sheetPr>
    <pageSetUpPr fitToPage="1"/>
  </sheetPr>
  <dimension ref="A1:M49"/>
  <sheetViews>
    <sheetView view="pageBreakPreview" zoomScaleNormal="100" zoomScaleSheetLayoutView="100" workbookViewId="0">
      <selection activeCell="C19" sqref="C19"/>
    </sheetView>
  </sheetViews>
  <sheetFormatPr defaultColWidth="9.109375" defaultRowHeight="15.6" x14ac:dyDescent="0.3"/>
  <cols>
    <col min="1" max="1" width="12.88671875" style="1" customWidth="1"/>
    <col min="2" max="2" width="13.5546875" style="1" customWidth="1"/>
    <col min="3" max="3" width="8.109375" style="41" customWidth="1"/>
    <col min="4" max="4" width="9.109375" style="1" customWidth="1"/>
    <col min="5" max="5" width="7" style="1" customWidth="1"/>
    <col min="6" max="6" width="2.5546875" style="1" customWidth="1"/>
    <col min="7" max="7" width="10.6640625" style="1" customWidth="1"/>
    <col min="8" max="8" width="12.77734375" style="1" customWidth="1"/>
    <col min="9" max="9" width="11.33203125" style="1" customWidth="1"/>
    <col min="10" max="10" width="14.33203125" style="1" customWidth="1"/>
    <col min="11" max="11" width="10.44140625" style="1" bestFit="1" customWidth="1"/>
    <col min="12" max="13" width="14" style="1" bestFit="1" customWidth="1"/>
    <col min="14" max="16384" width="9.109375" style="1"/>
  </cols>
  <sheetData>
    <row r="1" spans="1:10" ht="15.75" customHeight="1" x14ac:dyDescent="0.3">
      <c r="B1" s="49" t="s">
        <v>0</v>
      </c>
      <c r="C1" s="49"/>
      <c r="D1" s="49"/>
      <c r="E1" s="49"/>
      <c r="F1" s="49"/>
      <c r="G1" s="49"/>
      <c r="H1" s="49"/>
      <c r="I1" s="49"/>
      <c r="J1" s="49"/>
    </row>
    <row r="2" spans="1:10" ht="11.4" customHeight="1" x14ac:dyDescent="0.3">
      <c r="B2" s="49"/>
      <c r="C2" s="49"/>
      <c r="D2" s="49"/>
      <c r="E2" s="49"/>
      <c r="F2" s="49"/>
      <c r="G2" s="49"/>
      <c r="H2" s="49"/>
      <c r="I2" s="49"/>
      <c r="J2" s="49"/>
    </row>
    <row r="3" spans="1:10" ht="15.75" customHeight="1" x14ac:dyDescent="0.3">
      <c r="B3" s="50" t="s">
        <v>1</v>
      </c>
      <c r="C3" s="50"/>
      <c r="D3" s="50"/>
      <c r="E3" s="50"/>
      <c r="F3" s="50"/>
      <c r="G3" s="50"/>
      <c r="H3" s="50"/>
      <c r="I3" s="50"/>
      <c r="J3" s="50"/>
    </row>
    <row r="4" spans="1:10" ht="19.8" customHeight="1" x14ac:dyDescent="0.35">
      <c r="B4" s="51" t="s">
        <v>92</v>
      </c>
      <c r="C4" s="51"/>
      <c r="D4" s="51"/>
      <c r="E4" s="51"/>
      <c r="F4" s="51"/>
      <c r="G4" s="51"/>
      <c r="H4" s="51"/>
      <c r="I4" s="51"/>
      <c r="J4" s="51"/>
    </row>
    <row r="5" spans="1:10" ht="19.5" customHeight="1" thickBot="1" x14ac:dyDescent="0.35">
      <c r="A5" s="2"/>
      <c r="B5" s="52" t="s">
        <v>93</v>
      </c>
      <c r="C5" s="52"/>
      <c r="D5" s="52"/>
      <c r="E5" s="52"/>
      <c r="F5" s="52"/>
      <c r="G5" s="52"/>
      <c r="H5" s="52"/>
      <c r="I5" s="52"/>
      <c r="J5" s="52"/>
    </row>
    <row r="6" spans="1:10" s="3" customFormat="1" ht="9.75" customHeight="1" thickTop="1" x14ac:dyDescent="0.3">
      <c r="C6" s="53"/>
      <c r="D6" s="54"/>
      <c r="E6" s="54"/>
      <c r="F6" s="54"/>
    </row>
    <row r="7" spans="1:10" s="3" customFormat="1" ht="18.600000000000001" customHeight="1" x14ac:dyDescent="0.35">
      <c r="A7" s="55" t="s">
        <v>3</v>
      </c>
      <c r="B7" s="55"/>
      <c r="C7" s="55"/>
      <c r="D7" s="55"/>
      <c r="E7" s="55"/>
      <c r="F7" s="55"/>
      <c r="G7" s="55"/>
      <c r="H7" s="55"/>
      <c r="I7" s="55"/>
      <c r="J7" s="55"/>
    </row>
    <row r="8" spans="1:10" s="3" customFormat="1" ht="15.9" customHeight="1" x14ac:dyDescent="0.25">
      <c r="A8" s="56" t="s">
        <v>72</v>
      </c>
      <c r="B8" s="56"/>
      <c r="C8" s="56"/>
      <c r="D8" s="56"/>
      <c r="E8" s="56"/>
      <c r="F8" s="56"/>
      <c r="G8" s="56"/>
      <c r="H8" s="56"/>
      <c r="I8" s="56"/>
      <c r="J8" s="56"/>
    </row>
    <row r="9" spans="1:10" s="3" customFormat="1" ht="6" customHeight="1" x14ac:dyDescent="0.25">
      <c r="A9" s="4"/>
      <c r="B9" s="4"/>
      <c r="C9" s="5"/>
      <c r="D9" s="4"/>
      <c r="E9" s="4"/>
      <c r="F9" s="4"/>
      <c r="G9" s="4"/>
      <c r="H9" s="4"/>
      <c r="I9" s="4"/>
      <c r="J9" s="4"/>
    </row>
    <row r="10" spans="1:10" s="3" customFormat="1" ht="15.9" customHeight="1" x14ac:dyDescent="0.25">
      <c r="A10" s="3" t="s">
        <v>5</v>
      </c>
      <c r="B10" s="3" t="s">
        <v>67</v>
      </c>
      <c r="C10" s="6"/>
      <c r="G10" s="7"/>
    </row>
    <row r="11" spans="1:10" s="3" customFormat="1" ht="15.9" customHeight="1" x14ac:dyDescent="0.25">
      <c r="A11" s="3" t="s">
        <v>6</v>
      </c>
      <c r="C11" s="6"/>
      <c r="G11" s="7"/>
    </row>
    <row r="12" spans="1:10" s="3" customFormat="1" ht="6.6" customHeight="1" x14ac:dyDescent="0.25">
      <c r="C12" s="6"/>
    </row>
    <row r="13" spans="1:10" s="3" customFormat="1" ht="15.9" customHeight="1" x14ac:dyDescent="0.25">
      <c r="A13" s="3" t="s">
        <v>68</v>
      </c>
      <c r="C13" s="6"/>
    </row>
    <row r="14" spans="1:10" s="3" customFormat="1" ht="15.9" customHeight="1" x14ac:dyDescent="0.25">
      <c r="A14" s="3" t="s">
        <v>69</v>
      </c>
      <c r="C14" s="6"/>
    </row>
    <row r="15" spans="1:10" s="3" customFormat="1" ht="5.4" customHeight="1" x14ac:dyDescent="0.25">
      <c r="A15" s="57"/>
      <c r="B15" s="57"/>
      <c r="C15" s="57"/>
      <c r="D15" s="57"/>
      <c r="E15" s="57"/>
      <c r="F15" s="57"/>
      <c r="G15" s="8"/>
      <c r="H15" s="8"/>
      <c r="I15" s="57"/>
      <c r="J15" s="57"/>
    </row>
    <row r="16" spans="1:10" s="3" customFormat="1" ht="13.8" x14ac:dyDescent="0.25">
      <c r="A16" s="9" t="s">
        <v>9</v>
      </c>
      <c r="C16" s="6"/>
    </row>
    <row r="17" spans="1:13" s="3" customFormat="1" ht="27.6" x14ac:dyDescent="0.25">
      <c r="A17" s="10" t="s">
        <v>10</v>
      </c>
      <c r="B17" s="10" t="s">
        <v>11</v>
      </c>
      <c r="C17" s="11" t="s">
        <v>12</v>
      </c>
      <c r="D17" s="10" t="s">
        <v>13</v>
      </c>
      <c r="E17" s="58" t="s">
        <v>14</v>
      </c>
      <c r="F17" s="59"/>
      <c r="G17" s="12" t="s">
        <v>15</v>
      </c>
      <c r="H17" s="12" t="s">
        <v>16</v>
      </c>
      <c r="I17" s="10" t="s">
        <v>17</v>
      </c>
      <c r="J17" s="10" t="s">
        <v>18</v>
      </c>
      <c r="K17" s="13"/>
      <c r="M17" s="13"/>
    </row>
    <row r="18" spans="1:13" s="3" customFormat="1" ht="27.6" x14ac:dyDescent="0.25">
      <c r="A18" s="10" t="s">
        <v>56</v>
      </c>
      <c r="B18" s="10" t="s">
        <v>57</v>
      </c>
      <c r="C18" s="14">
        <v>1.3</v>
      </c>
      <c r="D18" s="10" t="s">
        <v>59</v>
      </c>
      <c r="E18" s="60" t="s">
        <v>62</v>
      </c>
      <c r="F18" s="61"/>
      <c r="G18" s="15">
        <f>E18*C18</f>
        <v>6.5</v>
      </c>
      <c r="H18" s="16">
        <f>G18*26600</f>
        <v>172900</v>
      </c>
      <c r="I18" s="17" t="s">
        <v>65</v>
      </c>
      <c r="J18" s="10" t="s">
        <v>20</v>
      </c>
      <c r="K18" s="13"/>
      <c r="M18" s="18"/>
    </row>
    <row r="19" spans="1:13" s="3" customFormat="1" ht="9.9" customHeight="1" x14ac:dyDescent="0.25">
      <c r="A19" s="19"/>
      <c r="B19" s="19"/>
      <c r="C19" s="20"/>
      <c r="D19" s="19"/>
      <c r="E19" s="21"/>
      <c r="F19" s="21"/>
      <c r="G19" s="21"/>
      <c r="H19" s="21"/>
      <c r="I19" s="22"/>
      <c r="J19" s="19"/>
    </row>
    <row r="20" spans="1:13" s="3" customFormat="1" ht="15" customHeight="1" x14ac:dyDescent="0.25">
      <c r="A20" s="9" t="s">
        <v>27</v>
      </c>
      <c r="B20" s="19"/>
      <c r="C20" s="20"/>
      <c r="D20" s="19"/>
      <c r="E20" s="21"/>
      <c r="F20" s="21"/>
      <c r="G20" s="21"/>
      <c r="H20" s="21"/>
      <c r="I20" s="77" t="s">
        <v>21</v>
      </c>
      <c r="J20" s="77"/>
    </row>
    <row r="21" spans="1:13" s="3" customFormat="1" ht="15" customHeight="1" x14ac:dyDescent="0.25">
      <c r="A21" s="66" t="s">
        <v>70</v>
      </c>
      <c r="B21" s="67"/>
      <c r="C21" s="23">
        <f>C18</f>
        <v>1.3</v>
      </c>
      <c r="D21" s="10" t="s">
        <v>59</v>
      </c>
      <c r="E21" s="68">
        <v>10</v>
      </c>
      <c r="F21" s="75"/>
      <c r="G21" s="11">
        <f t="shared" ref="G21:G25" si="0">C21*E21</f>
        <v>13</v>
      </c>
      <c r="H21" s="16">
        <f t="shared" ref="H21:H23" si="1">G21*26000*1.08</f>
        <v>365040</v>
      </c>
      <c r="I21" s="76"/>
      <c r="J21" s="76"/>
    </row>
    <row r="22" spans="1:13" s="3" customFormat="1" ht="15" customHeight="1" x14ac:dyDescent="0.25">
      <c r="A22" s="66" t="s">
        <v>31</v>
      </c>
      <c r="B22" s="67"/>
      <c r="C22" s="23">
        <f>C21</f>
        <v>1.3</v>
      </c>
      <c r="D22" s="10" t="s">
        <v>59</v>
      </c>
      <c r="E22" s="68">
        <v>10</v>
      </c>
      <c r="F22" s="75"/>
      <c r="G22" s="11">
        <f t="shared" si="0"/>
        <v>13</v>
      </c>
      <c r="H22" s="16">
        <f t="shared" si="1"/>
        <v>365040</v>
      </c>
      <c r="I22" s="76"/>
      <c r="J22" s="76"/>
    </row>
    <row r="23" spans="1:13" s="3" customFormat="1" ht="15" customHeight="1" x14ac:dyDescent="0.25">
      <c r="A23" s="66" t="s">
        <v>32</v>
      </c>
      <c r="B23" s="67"/>
      <c r="C23" s="23">
        <v>1</v>
      </c>
      <c r="D23" s="10" t="s">
        <v>33</v>
      </c>
      <c r="E23" s="68">
        <v>30</v>
      </c>
      <c r="F23" s="75"/>
      <c r="G23" s="11">
        <f t="shared" si="0"/>
        <v>30</v>
      </c>
      <c r="H23" s="16">
        <f t="shared" si="1"/>
        <v>842400</v>
      </c>
      <c r="I23" s="76"/>
      <c r="J23" s="76"/>
    </row>
    <row r="24" spans="1:13" s="3" customFormat="1" ht="15" customHeight="1" x14ac:dyDescent="0.25">
      <c r="A24" s="66" t="s">
        <v>34</v>
      </c>
      <c r="B24" s="67"/>
      <c r="C24" s="23">
        <v>1</v>
      </c>
      <c r="D24" s="10" t="s">
        <v>35</v>
      </c>
      <c r="E24" s="68">
        <v>32</v>
      </c>
      <c r="F24" s="69"/>
      <c r="G24" s="24">
        <f t="shared" si="0"/>
        <v>32</v>
      </c>
      <c r="H24" s="16">
        <v>880000</v>
      </c>
      <c r="I24" s="58" t="s">
        <v>74</v>
      </c>
      <c r="J24" s="59"/>
    </row>
    <row r="25" spans="1:13" s="3" customFormat="1" ht="30" customHeight="1" x14ac:dyDescent="0.25">
      <c r="A25" s="66" t="s">
        <v>63</v>
      </c>
      <c r="B25" s="67"/>
      <c r="C25" s="23">
        <v>1</v>
      </c>
      <c r="D25" s="10" t="s">
        <v>24</v>
      </c>
      <c r="E25" s="68">
        <v>30</v>
      </c>
      <c r="F25" s="69"/>
      <c r="G25" s="24">
        <f t="shared" si="0"/>
        <v>30</v>
      </c>
      <c r="H25" s="16">
        <f>G25*26000*1.08</f>
        <v>842400</v>
      </c>
      <c r="I25" s="58" t="s">
        <v>38</v>
      </c>
      <c r="J25" s="59"/>
    </row>
    <row r="26" spans="1:13" s="3" customFormat="1" ht="7.2" customHeight="1" x14ac:dyDescent="0.25">
      <c r="A26" s="25"/>
      <c r="B26" s="25"/>
      <c r="C26" s="20"/>
      <c r="D26" s="19"/>
      <c r="E26" s="21"/>
      <c r="F26" s="21"/>
      <c r="G26" s="21"/>
      <c r="H26" s="21"/>
      <c r="I26" s="19"/>
      <c r="J26" s="19"/>
    </row>
    <row r="27" spans="1:13" s="3" customFormat="1" ht="15.9" customHeight="1" x14ac:dyDescent="0.25">
      <c r="A27" s="27" t="s">
        <v>39</v>
      </c>
      <c r="B27" s="64" t="s">
        <v>64</v>
      </c>
      <c r="C27" s="64"/>
      <c r="D27" s="64"/>
      <c r="E27" s="64"/>
      <c r="F27" s="64"/>
      <c r="G27" s="28">
        <f>SUM(G18:G25)</f>
        <v>124.5</v>
      </c>
      <c r="H27" s="29">
        <f>SUM(H18:H25)</f>
        <v>3467780</v>
      </c>
      <c r="I27" s="65" t="s">
        <v>66</v>
      </c>
      <c r="J27" s="65"/>
    </row>
    <row r="28" spans="1:13" s="3" customFormat="1" ht="15.75" customHeight="1" x14ac:dyDescent="0.3">
      <c r="A28" s="30" t="s">
        <v>41</v>
      </c>
      <c r="C28" s="20"/>
      <c r="D28" s="19"/>
      <c r="E28" s="31"/>
      <c r="F28" s="31"/>
      <c r="G28" s="31"/>
      <c r="H28" s="31"/>
      <c r="I28" s="13"/>
    </row>
    <row r="29" spans="1:13" s="3" customFormat="1" ht="15.75" customHeight="1" x14ac:dyDescent="0.3">
      <c r="A29" s="30"/>
      <c r="B29" s="32" t="s">
        <v>42</v>
      </c>
      <c r="C29" s="20"/>
      <c r="D29" s="19"/>
      <c r="E29" s="31"/>
      <c r="F29" s="31"/>
      <c r="G29" s="31"/>
      <c r="H29" s="31"/>
      <c r="I29" s="13"/>
    </row>
    <row r="30" spans="1:13" s="3" customFormat="1" ht="15.75" customHeight="1" x14ac:dyDescent="0.25">
      <c r="B30" s="32" t="s">
        <v>43</v>
      </c>
      <c r="C30" s="6"/>
    </row>
    <row r="31" spans="1:13" s="3" customFormat="1" ht="15.75" customHeight="1" x14ac:dyDescent="0.25">
      <c r="B31" s="33" t="s">
        <v>44</v>
      </c>
      <c r="C31" s="6"/>
    </row>
    <row r="32" spans="1:13" s="3" customFormat="1" ht="15.75" customHeight="1" x14ac:dyDescent="0.25">
      <c r="B32" s="32" t="s">
        <v>61</v>
      </c>
      <c r="C32" s="6"/>
    </row>
    <row r="33" spans="1:10" s="3" customFormat="1" ht="15.75" customHeight="1" x14ac:dyDescent="0.25">
      <c r="B33" s="32" t="s">
        <v>60</v>
      </c>
      <c r="C33" s="6"/>
    </row>
    <row r="34" spans="1:10" s="3" customFormat="1" ht="8.4" customHeight="1" x14ac:dyDescent="0.25">
      <c r="C34" s="6"/>
    </row>
    <row r="35" spans="1:10" s="35" customFormat="1" ht="15.75" customHeight="1" x14ac:dyDescent="0.25">
      <c r="A35" s="74" t="s">
        <v>73</v>
      </c>
      <c r="B35" s="74"/>
      <c r="C35" s="74"/>
      <c r="D35" s="74"/>
      <c r="F35" s="36"/>
      <c r="G35" s="74" t="s">
        <v>48</v>
      </c>
      <c r="H35" s="74"/>
      <c r="I35" s="74"/>
      <c r="J35" s="74"/>
    </row>
    <row r="36" spans="1:10" s="35" customFormat="1" ht="30" customHeight="1" x14ac:dyDescent="0.25">
      <c r="A36" s="71" t="s">
        <v>49</v>
      </c>
      <c r="B36" s="71"/>
      <c r="C36" s="71"/>
      <c r="D36" s="71"/>
      <c r="E36" s="71"/>
      <c r="F36" s="72" t="s">
        <v>71</v>
      </c>
      <c r="G36" s="72"/>
      <c r="H36" s="72"/>
      <c r="I36" s="72"/>
      <c r="J36" s="72"/>
    </row>
    <row r="37" spans="1:10" s="35" customFormat="1" ht="15.75" customHeight="1" x14ac:dyDescent="0.25">
      <c r="A37" s="73" t="s">
        <v>50</v>
      </c>
      <c r="B37" s="73"/>
      <c r="C37" s="73"/>
      <c r="D37" s="73"/>
      <c r="E37" s="73"/>
      <c r="F37" s="73" t="s">
        <v>51</v>
      </c>
      <c r="G37" s="73"/>
      <c r="H37" s="73"/>
      <c r="I37" s="73"/>
      <c r="J37" s="73"/>
    </row>
    <row r="38" spans="1:10" s="35" customFormat="1" ht="15.75" customHeight="1" x14ac:dyDescent="0.3">
      <c r="A38" s="37"/>
    </row>
    <row r="39" spans="1:10" s="35" customFormat="1" ht="15.75" customHeight="1" x14ac:dyDescent="0.3">
      <c r="A39" s="37"/>
    </row>
    <row r="40" spans="1:10" s="35" customFormat="1" ht="15.75" customHeight="1" x14ac:dyDescent="0.3">
      <c r="A40" s="37"/>
    </row>
    <row r="41" spans="1:10" s="40" customFormat="1" ht="15.75" customHeight="1" x14ac:dyDescent="0.3">
      <c r="A41" s="38"/>
      <c r="B41" s="39"/>
    </row>
    <row r="42" spans="1:10" s="3" customFormat="1" ht="15.75" customHeight="1" x14ac:dyDescent="0.25">
      <c r="A42" s="74" t="s">
        <v>52</v>
      </c>
      <c r="B42" s="74"/>
      <c r="C42" s="74"/>
      <c r="D42" s="74"/>
      <c r="E42" s="74"/>
      <c r="F42" s="74" t="s">
        <v>52</v>
      </c>
      <c r="G42" s="74"/>
      <c r="H42" s="74"/>
      <c r="I42" s="74"/>
      <c r="J42" s="74"/>
    </row>
    <row r="43" spans="1:10" s="3" customFormat="1" ht="10.8" customHeight="1" x14ac:dyDescent="0.25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spans="1:10" s="3" customFormat="1" ht="13.8" x14ac:dyDescent="0.25">
      <c r="A44" s="70" t="s">
        <v>53</v>
      </c>
      <c r="B44" s="70"/>
      <c r="C44" s="70"/>
      <c r="D44" s="70"/>
      <c r="E44" s="70"/>
      <c r="F44" s="70"/>
      <c r="G44" s="70"/>
      <c r="H44" s="70"/>
      <c r="I44" s="70"/>
      <c r="J44" s="70"/>
    </row>
    <row r="45" spans="1:10" s="3" customFormat="1" ht="13.8" x14ac:dyDescent="0.25">
      <c r="C45" s="6"/>
    </row>
    <row r="46" spans="1:10" s="3" customFormat="1" ht="13.8" x14ac:dyDescent="0.25">
      <c r="C46" s="6"/>
    </row>
    <row r="47" spans="1:10" s="3" customFormat="1" ht="13.8" x14ac:dyDescent="0.25">
      <c r="C47" s="6"/>
    </row>
    <row r="48" spans="1:10" s="3" customFormat="1" ht="13.8" x14ac:dyDescent="0.25">
      <c r="C48" s="6"/>
    </row>
    <row r="49" spans="3:3" s="3" customFormat="1" ht="13.8" x14ac:dyDescent="0.25">
      <c r="C49" s="6"/>
    </row>
  </sheetData>
  <mergeCells count="38">
    <mergeCell ref="A44:J44"/>
    <mergeCell ref="A36:E36"/>
    <mergeCell ref="F36:J36"/>
    <mergeCell ref="A37:E37"/>
    <mergeCell ref="F37:J37"/>
    <mergeCell ref="A42:E42"/>
    <mergeCell ref="F42:J42"/>
    <mergeCell ref="A35:D35"/>
    <mergeCell ref="G35:J35"/>
    <mergeCell ref="A23:B23"/>
    <mergeCell ref="E23:F23"/>
    <mergeCell ref="I23:J23"/>
    <mergeCell ref="A24:B24"/>
    <mergeCell ref="E24:F24"/>
    <mergeCell ref="I24:J24"/>
    <mergeCell ref="A25:B25"/>
    <mergeCell ref="E25:F25"/>
    <mergeCell ref="I25:J25"/>
    <mergeCell ref="B27:F27"/>
    <mergeCell ref="I27:J27"/>
    <mergeCell ref="I20:J20"/>
    <mergeCell ref="A21:B21"/>
    <mergeCell ref="E21:F21"/>
    <mergeCell ref="I21:J21"/>
    <mergeCell ref="A22:B22"/>
    <mergeCell ref="E22:F22"/>
    <mergeCell ref="I22:J22"/>
    <mergeCell ref="A8:J8"/>
    <mergeCell ref="A15:F15"/>
    <mergeCell ref="I15:J15"/>
    <mergeCell ref="E17:F17"/>
    <mergeCell ref="E18:F18"/>
    <mergeCell ref="A7:J7"/>
    <mergeCell ref="B1:J2"/>
    <mergeCell ref="B3:J3"/>
    <mergeCell ref="B4:J4"/>
    <mergeCell ref="B5:J5"/>
    <mergeCell ref="C6:F6"/>
  </mergeCells>
  <pageMargins left="0.4" right="0.3" top="0.4" bottom="0.25" header="0.3" footer="0.3"/>
  <pageSetup scale="9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D021-52F4-4294-B86D-46292191AC7E}">
  <sheetPr>
    <pageSetUpPr fitToPage="1"/>
  </sheetPr>
  <dimension ref="A1:M60"/>
  <sheetViews>
    <sheetView view="pageBreakPreview" topLeftCell="A23" zoomScale="112" zoomScaleNormal="100" zoomScaleSheetLayoutView="130" workbookViewId="0">
      <selection activeCell="A45" sqref="A45:E45"/>
    </sheetView>
  </sheetViews>
  <sheetFormatPr defaultColWidth="9.109375" defaultRowHeight="15.6" x14ac:dyDescent="0.3"/>
  <cols>
    <col min="1" max="1" width="12.88671875" style="1" customWidth="1"/>
    <col min="2" max="2" width="13.5546875" style="1" customWidth="1"/>
    <col min="3" max="3" width="8.109375" style="41" customWidth="1"/>
    <col min="4" max="4" width="9.109375" style="1" customWidth="1"/>
    <col min="5" max="5" width="7" style="1" customWidth="1"/>
    <col min="6" max="6" width="2.5546875" style="1" customWidth="1"/>
    <col min="7" max="7" width="10.6640625" style="1" customWidth="1"/>
    <col min="8" max="8" width="12.77734375" style="1" customWidth="1"/>
    <col min="9" max="9" width="11.33203125" style="1" customWidth="1"/>
    <col min="10" max="10" width="14.33203125" style="1" customWidth="1"/>
    <col min="11" max="11" width="10.44140625" style="1" bestFit="1" customWidth="1"/>
    <col min="12" max="13" width="14" style="1" bestFit="1" customWidth="1"/>
    <col min="14" max="16384" width="9.109375" style="1"/>
  </cols>
  <sheetData>
    <row r="1" spans="1:10" ht="15.75" customHeight="1" x14ac:dyDescent="0.3">
      <c r="B1" s="49" t="s">
        <v>0</v>
      </c>
      <c r="C1" s="49"/>
      <c r="D1" s="49"/>
      <c r="E1" s="49"/>
      <c r="F1" s="49"/>
      <c r="G1" s="49"/>
      <c r="H1" s="49"/>
      <c r="I1" s="49"/>
      <c r="J1" s="49"/>
    </row>
    <row r="2" spans="1:10" ht="11.4" customHeight="1" x14ac:dyDescent="0.3">
      <c r="B2" s="49"/>
      <c r="C2" s="49"/>
      <c r="D2" s="49"/>
      <c r="E2" s="49"/>
      <c r="F2" s="49"/>
      <c r="G2" s="49"/>
      <c r="H2" s="49"/>
      <c r="I2" s="49"/>
      <c r="J2" s="49"/>
    </row>
    <row r="3" spans="1:10" ht="15.75" customHeight="1" x14ac:dyDescent="0.3">
      <c r="B3" s="50" t="s">
        <v>1</v>
      </c>
      <c r="C3" s="50"/>
      <c r="D3" s="50"/>
      <c r="E3" s="50"/>
      <c r="F3" s="50"/>
      <c r="G3" s="50"/>
      <c r="H3" s="50"/>
      <c r="I3" s="50"/>
      <c r="J3" s="50"/>
    </row>
    <row r="4" spans="1:10" ht="19.8" customHeight="1" x14ac:dyDescent="0.35">
      <c r="B4" s="51" t="s">
        <v>82</v>
      </c>
      <c r="C4" s="51"/>
      <c r="D4" s="51"/>
      <c r="E4" s="51"/>
      <c r="F4" s="51"/>
      <c r="G4" s="51"/>
      <c r="H4" s="51"/>
      <c r="I4" s="51"/>
      <c r="J4" s="51"/>
    </row>
    <row r="5" spans="1:10" ht="19.5" customHeight="1" thickBot="1" x14ac:dyDescent="0.35">
      <c r="A5" s="2"/>
      <c r="B5" s="52" t="s">
        <v>94</v>
      </c>
      <c r="C5" s="52"/>
      <c r="D5" s="52"/>
      <c r="E5" s="52"/>
      <c r="F5" s="52"/>
      <c r="G5" s="52"/>
      <c r="H5" s="52"/>
      <c r="I5" s="52"/>
      <c r="J5" s="52"/>
    </row>
    <row r="6" spans="1:10" s="3" customFormat="1" ht="9.75" customHeight="1" thickTop="1" x14ac:dyDescent="0.3">
      <c r="C6" s="53"/>
      <c r="D6" s="54"/>
      <c r="E6" s="54"/>
      <c r="F6" s="54"/>
    </row>
    <row r="7" spans="1:10" s="3" customFormat="1" ht="18.600000000000001" customHeight="1" x14ac:dyDescent="0.35">
      <c r="A7" s="55" t="s">
        <v>3</v>
      </c>
      <c r="B7" s="55"/>
      <c r="C7" s="55"/>
      <c r="D7" s="55"/>
      <c r="E7" s="55"/>
      <c r="F7" s="55"/>
      <c r="G7" s="55"/>
      <c r="H7" s="55"/>
      <c r="I7" s="55"/>
      <c r="J7" s="55"/>
    </row>
    <row r="8" spans="1:10" s="3" customFormat="1" ht="15.9" customHeight="1" x14ac:dyDescent="0.25">
      <c r="A8" s="56" t="s">
        <v>104</v>
      </c>
      <c r="B8" s="56"/>
      <c r="C8" s="56"/>
      <c r="D8" s="56"/>
      <c r="E8" s="56"/>
      <c r="F8" s="56"/>
      <c r="G8" s="56"/>
      <c r="H8" s="56"/>
      <c r="I8" s="56"/>
      <c r="J8" s="56"/>
    </row>
    <row r="9" spans="1:10" s="3" customFormat="1" ht="6" customHeight="1" x14ac:dyDescent="0.25">
      <c r="A9" s="4"/>
      <c r="B9" s="4"/>
      <c r="C9" s="5"/>
      <c r="D9" s="4"/>
      <c r="E9" s="4"/>
      <c r="F9" s="4"/>
      <c r="G9" s="4"/>
      <c r="H9" s="4"/>
      <c r="I9" s="4"/>
      <c r="J9" s="4"/>
    </row>
    <row r="10" spans="1:10" s="3" customFormat="1" ht="15.9" customHeight="1" x14ac:dyDescent="0.25">
      <c r="A10" s="3" t="s">
        <v>5</v>
      </c>
      <c r="C10" s="6"/>
      <c r="G10" s="7"/>
    </row>
    <row r="11" spans="1:10" s="3" customFormat="1" ht="15.9" customHeight="1" x14ac:dyDescent="0.25">
      <c r="A11" s="3" t="s">
        <v>6</v>
      </c>
      <c r="C11" s="6"/>
      <c r="G11" s="7"/>
    </row>
    <row r="12" spans="1:10" s="3" customFormat="1" ht="6.6" customHeight="1" x14ac:dyDescent="0.25">
      <c r="C12" s="6"/>
    </row>
    <row r="13" spans="1:10" s="3" customFormat="1" ht="15.9" customHeight="1" x14ac:dyDescent="0.25">
      <c r="A13" s="3" t="s">
        <v>107</v>
      </c>
      <c r="C13" s="6"/>
    </row>
    <row r="14" spans="1:10" s="3" customFormat="1" ht="15.9" customHeight="1" x14ac:dyDescent="0.25">
      <c r="A14" s="3" t="s">
        <v>101</v>
      </c>
      <c r="C14" s="6"/>
    </row>
    <row r="15" spans="1:10" s="3" customFormat="1" ht="5.4" customHeight="1" x14ac:dyDescent="0.25">
      <c r="A15" s="57"/>
      <c r="B15" s="57"/>
      <c r="C15" s="57"/>
      <c r="D15" s="57"/>
      <c r="E15" s="57"/>
      <c r="F15" s="57"/>
      <c r="G15" s="8"/>
      <c r="H15" s="8"/>
      <c r="I15" s="57"/>
      <c r="J15" s="57"/>
    </row>
    <row r="16" spans="1:10" s="3" customFormat="1" ht="13.8" x14ac:dyDescent="0.25">
      <c r="A16" s="9" t="s">
        <v>9</v>
      </c>
      <c r="C16" s="6"/>
    </row>
    <row r="17" spans="1:13" s="3" customFormat="1" ht="27.6" x14ac:dyDescent="0.25">
      <c r="A17" s="10" t="s">
        <v>10</v>
      </c>
      <c r="B17" s="10" t="s">
        <v>11</v>
      </c>
      <c r="C17" s="11" t="s">
        <v>12</v>
      </c>
      <c r="D17" s="10" t="s">
        <v>13</v>
      </c>
      <c r="E17" s="58" t="s">
        <v>14</v>
      </c>
      <c r="F17" s="59"/>
      <c r="G17" s="12" t="s">
        <v>15</v>
      </c>
      <c r="H17" s="12" t="s">
        <v>16</v>
      </c>
      <c r="I17" s="10" t="s">
        <v>17</v>
      </c>
      <c r="J17" s="10" t="s">
        <v>18</v>
      </c>
      <c r="K17" s="13"/>
      <c r="M17" s="13"/>
    </row>
    <row r="18" spans="1:13" s="3" customFormat="1" ht="27.6" x14ac:dyDescent="0.25">
      <c r="A18" s="10" t="s">
        <v>95</v>
      </c>
      <c r="B18" s="10" t="s">
        <v>75</v>
      </c>
      <c r="C18" s="14">
        <v>5.7329999999999997</v>
      </c>
      <c r="D18" s="10" t="s">
        <v>76</v>
      </c>
      <c r="E18" s="60" t="s">
        <v>62</v>
      </c>
      <c r="F18" s="61"/>
      <c r="G18" s="15">
        <f>E18*C18</f>
        <v>28.664999999999999</v>
      </c>
      <c r="H18" s="16">
        <f>G18*26600</f>
        <v>762489</v>
      </c>
      <c r="I18" s="17" t="s">
        <v>102</v>
      </c>
      <c r="J18" s="10" t="s">
        <v>20</v>
      </c>
      <c r="K18" s="13"/>
      <c r="M18" s="18"/>
    </row>
    <row r="19" spans="1:13" s="3" customFormat="1" ht="9.9" customHeight="1" x14ac:dyDescent="0.25">
      <c r="A19" s="19"/>
      <c r="B19" s="19"/>
      <c r="C19" s="20"/>
      <c r="D19" s="19"/>
      <c r="E19" s="21"/>
      <c r="F19" s="21"/>
      <c r="G19" s="21"/>
      <c r="H19" s="21"/>
      <c r="I19" s="22"/>
      <c r="J19" s="19"/>
    </row>
    <row r="20" spans="1:13" s="3" customFormat="1" ht="15.9" customHeight="1" x14ac:dyDescent="0.25">
      <c r="A20" s="9" t="s">
        <v>80</v>
      </c>
      <c r="B20" s="19"/>
      <c r="C20" s="20"/>
      <c r="D20" s="19"/>
      <c r="E20" s="21"/>
      <c r="F20" s="21"/>
      <c r="G20" s="21"/>
      <c r="H20" s="21"/>
      <c r="I20" s="62" t="s">
        <v>21</v>
      </c>
      <c r="J20" s="63"/>
      <c r="M20" s="13"/>
    </row>
    <row r="21" spans="1:13" s="3" customFormat="1" ht="15.9" customHeight="1" x14ac:dyDescent="0.25">
      <c r="A21" s="66" t="s">
        <v>96</v>
      </c>
      <c r="B21" s="67"/>
      <c r="C21" s="23">
        <v>1</v>
      </c>
      <c r="D21" s="10" t="s">
        <v>33</v>
      </c>
      <c r="E21" s="68">
        <v>155</v>
      </c>
      <c r="F21" s="69"/>
      <c r="G21" s="24">
        <f t="shared" ref="G21" si="0">C21*E21</f>
        <v>155</v>
      </c>
      <c r="H21" s="16">
        <f>G21*26600</f>
        <v>4123000</v>
      </c>
      <c r="I21" s="58"/>
      <c r="J21" s="59"/>
      <c r="M21" s="13"/>
    </row>
    <row r="22" spans="1:13" s="3" customFormat="1" ht="15.9" customHeight="1" x14ac:dyDescent="0.25">
      <c r="A22" s="66" t="s">
        <v>22</v>
      </c>
      <c r="B22" s="67"/>
      <c r="C22" s="23">
        <v>1</v>
      </c>
      <c r="D22" s="10" t="s">
        <v>23</v>
      </c>
      <c r="E22" s="68">
        <v>65</v>
      </c>
      <c r="F22" s="69"/>
      <c r="G22" s="24">
        <f t="shared" ref="G22:G33" si="1">C22*E22</f>
        <v>65</v>
      </c>
      <c r="H22" s="16">
        <f t="shared" ref="H22:H25" si="2">G22*26600</f>
        <v>1729000</v>
      </c>
      <c r="I22" s="58"/>
      <c r="J22" s="59"/>
    </row>
    <row r="23" spans="1:13" s="3" customFormat="1" ht="15.9" customHeight="1" x14ac:dyDescent="0.25">
      <c r="A23" s="66" t="s">
        <v>78</v>
      </c>
      <c r="B23" s="67"/>
      <c r="C23" s="23">
        <f>C18</f>
        <v>5.7329999999999997</v>
      </c>
      <c r="D23" s="10" t="s">
        <v>79</v>
      </c>
      <c r="E23" s="68">
        <v>20</v>
      </c>
      <c r="F23" s="69"/>
      <c r="G23" s="24">
        <f t="shared" ref="G23" si="3">C23*E23</f>
        <v>114.66</v>
      </c>
      <c r="H23" s="16">
        <f t="shared" si="2"/>
        <v>3049956</v>
      </c>
      <c r="I23" s="58"/>
      <c r="J23" s="59"/>
    </row>
    <row r="24" spans="1:13" s="3" customFormat="1" ht="15.9" customHeight="1" x14ac:dyDescent="0.25">
      <c r="A24" s="66" t="s">
        <v>25</v>
      </c>
      <c r="B24" s="67"/>
      <c r="C24" s="23">
        <v>1</v>
      </c>
      <c r="D24" s="10" t="s">
        <v>23</v>
      </c>
      <c r="E24" s="68">
        <v>65</v>
      </c>
      <c r="F24" s="69"/>
      <c r="G24" s="11">
        <f t="shared" si="1"/>
        <v>65</v>
      </c>
      <c r="H24" s="16">
        <f t="shared" si="2"/>
        <v>1729000</v>
      </c>
      <c r="I24" s="58"/>
      <c r="J24" s="59"/>
      <c r="L24" s="6"/>
    </row>
    <row r="25" spans="1:13" s="3" customFormat="1" ht="15.9" customHeight="1" x14ac:dyDescent="0.25">
      <c r="A25" s="66" t="s">
        <v>26</v>
      </c>
      <c r="B25" s="67"/>
      <c r="C25" s="23">
        <v>1</v>
      </c>
      <c r="D25" s="10" t="s">
        <v>24</v>
      </c>
      <c r="E25" s="68">
        <v>25</v>
      </c>
      <c r="F25" s="69"/>
      <c r="G25" s="11">
        <f t="shared" si="1"/>
        <v>25</v>
      </c>
      <c r="H25" s="16">
        <f t="shared" si="2"/>
        <v>665000</v>
      </c>
      <c r="I25" s="58"/>
      <c r="J25" s="59"/>
      <c r="L25" s="6"/>
    </row>
    <row r="26" spans="1:13" s="3" customFormat="1" ht="9" customHeight="1" x14ac:dyDescent="0.25">
      <c r="A26" s="25"/>
      <c r="B26" s="25"/>
      <c r="C26" s="20"/>
      <c r="D26" s="19"/>
      <c r="E26" s="21"/>
      <c r="F26" s="21"/>
      <c r="G26" s="21"/>
      <c r="H26" s="21"/>
      <c r="I26" s="19"/>
      <c r="J26" s="19"/>
    </row>
    <row r="27" spans="1:13" s="3" customFormat="1" ht="15" customHeight="1" x14ac:dyDescent="0.25">
      <c r="A27" s="9" t="s">
        <v>27</v>
      </c>
      <c r="B27" s="19"/>
      <c r="C27" s="20"/>
      <c r="D27" s="19"/>
      <c r="E27" s="21"/>
      <c r="F27" s="21"/>
      <c r="G27" s="21"/>
      <c r="H27" s="21"/>
      <c r="I27" s="77" t="s">
        <v>21</v>
      </c>
      <c r="J27" s="77"/>
    </row>
    <row r="28" spans="1:13" s="3" customFormat="1" ht="15" customHeight="1" x14ac:dyDescent="0.25">
      <c r="A28" s="66" t="s">
        <v>77</v>
      </c>
      <c r="B28" s="67"/>
      <c r="C28" s="23">
        <f>C18</f>
        <v>5.7329999999999997</v>
      </c>
      <c r="D28" s="10" t="s">
        <v>79</v>
      </c>
      <c r="E28" s="68">
        <v>25</v>
      </c>
      <c r="F28" s="75"/>
      <c r="G28" s="11">
        <f t="shared" si="1"/>
        <v>143.32499999999999</v>
      </c>
      <c r="H28" s="16">
        <f>G28*26600*1.08</f>
        <v>4117440.5999999996</v>
      </c>
      <c r="I28" s="76"/>
      <c r="J28" s="76"/>
    </row>
    <row r="29" spans="1:13" s="3" customFormat="1" ht="15" customHeight="1" x14ac:dyDescent="0.25">
      <c r="A29" s="66" t="s">
        <v>31</v>
      </c>
      <c r="B29" s="67"/>
      <c r="C29" s="23">
        <f>C28</f>
        <v>5.7329999999999997</v>
      </c>
      <c r="D29" s="10" t="s">
        <v>79</v>
      </c>
      <c r="E29" s="68">
        <v>20</v>
      </c>
      <c r="F29" s="75"/>
      <c r="G29" s="11">
        <f t="shared" si="1"/>
        <v>114.66</v>
      </c>
      <c r="H29" s="16">
        <f t="shared" ref="H29:H33" si="4">G29*26600*1.08</f>
        <v>3293952.4800000004</v>
      </c>
      <c r="I29" s="76"/>
      <c r="J29" s="76"/>
    </row>
    <row r="30" spans="1:13" s="3" customFormat="1" ht="15" customHeight="1" x14ac:dyDescent="0.25">
      <c r="A30" s="66" t="s">
        <v>32</v>
      </c>
      <c r="B30" s="67"/>
      <c r="C30" s="23">
        <v>1</v>
      </c>
      <c r="D30" s="10" t="s">
        <v>33</v>
      </c>
      <c r="E30" s="68">
        <v>25</v>
      </c>
      <c r="F30" s="75"/>
      <c r="G30" s="11">
        <f t="shared" si="1"/>
        <v>25</v>
      </c>
      <c r="H30" s="16">
        <f t="shared" si="4"/>
        <v>718200</v>
      </c>
      <c r="I30" s="76"/>
      <c r="J30" s="76"/>
    </row>
    <row r="31" spans="1:13" s="3" customFormat="1" ht="15" customHeight="1" x14ac:dyDescent="0.25">
      <c r="A31" s="66" t="s">
        <v>34</v>
      </c>
      <c r="B31" s="67"/>
      <c r="C31" s="23">
        <v>1</v>
      </c>
      <c r="D31" s="10" t="s">
        <v>35</v>
      </c>
      <c r="E31" s="68">
        <v>40</v>
      </c>
      <c r="F31" s="69"/>
      <c r="G31" s="24">
        <f t="shared" si="1"/>
        <v>40</v>
      </c>
      <c r="H31" s="16">
        <f t="shared" si="4"/>
        <v>1149120</v>
      </c>
      <c r="I31" s="58" t="s">
        <v>97</v>
      </c>
      <c r="J31" s="59"/>
    </row>
    <row r="32" spans="1:13" s="48" customFormat="1" ht="15" customHeight="1" x14ac:dyDescent="0.25">
      <c r="A32" s="78" t="s">
        <v>98</v>
      </c>
      <c r="B32" s="79"/>
      <c r="C32" s="44">
        <v>1</v>
      </c>
      <c r="D32" s="45" t="s">
        <v>24</v>
      </c>
      <c r="E32" s="80">
        <v>100</v>
      </c>
      <c r="F32" s="81"/>
      <c r="G32" s="46">
        <f t="shared" ref="G32" si="5">C32*E32</f>
        <v>100</v>
      </c>
      <c r="H32" s="47">
        <f t="shared" ref="H32" si="6">G32*26600*1.08</f>
        <v>2872800</v>
      </c>
      <c r="I32" s="82" t="s">
        <v>99</v>
      </c>
      <c r="J32" s="83"/>
    </row>
    <row r="33" spans="1:10" s="3" customFormat="1" ht="30" customHeight="1" x14ac:dyDescent="0.25">
      <c r="A33" s="66" t="s">
        <v>100</v>
      </c>
      <c r="B33" s="67"/>
      <c r="C33" s="23">
        <v>1</v>
      </c>
      <c r="D33" s="10" t="s">
        <v>24</v>
      </c>
      <c r="E33" s="68">
        <v>60</v>
      </c>
      <c r="F33" s="69"/>
      <c r="G33" s="24">
        <f t="shared" si="1"/>
        <v>60</v>
      </c>
      <c r="H33" s="16">
        <f t="shared" si="4"/>
        <v>1723680</v>
      </c>
      <c r="I33" s="58" t="s">
        <v>38</v>
      </c>
      <c r="J33" s="59"/>
    </row>
    <row r="34" spans="1:10" s="3" customFormat="1" ht="7.2" customHeight="1" x14ac:dyDescent="0.25">
      <c r="A34" s="25"/>
      <c r="B34" s="25"/>
      <c r="C34" s="20"/>
      <c r="D34" s="19"/>
      <c r="E34" s="21"/>
      <c r="F34" s="21"/>
      <c r="G34" s="21"/>
      <c r="H34" s="21"/>
      <c r="I34" s="19"/>
      <c r="J34" s="19"/>
    </row>
    <row r="35" spans="1:10" s="3" customFormat="1" ht="15.9" customHeight="1" x14ac:dyDescent="0.25">
      <c r="A35" s="27" t="s">
        <v>39</v>
      </c>
      <c r="B35" s="64" t="s">
        <v>105</v>
      </c>
      <c r="C35" s="64"/>
      <c r="D35" s="64"/>
      <c r="E35" s="64"/>
      <c r="F35" s="64"/>
      <c r="G35" s="28">
        <f>SUM(G18:G33)</f>
        <v>936.31</v>
      </c>
      <c r="H35" s="29">
        <f>SUM(H18:H33)</f>
        <v>25933638.079999998</v>
      </c>
      <c r="I35" s="65" t="s">
        <v>66</v>
      </c>
      <c r="J35" s="65"/>
    </row>
    <row r="36" spans="1:10" s="3" customFormat="1" ht="15.75" customHeight="1" x14ac:dyDescent="0.3">
      <c r="A36" s="30" t="s">
        <v>41</v>
      </c>
      <c r="C36" s="20"/>
      <c r="D36" s="19"/>
      <c r="E36" s="31"/>
      <c r="F36" s="31"/>
      <c r="G36" s="31"/>
      <c r="H36" s="31"/>
      <c r="I36" s="13"/>
    </row>
    <row r="37" spans="1:10" s="3" customFormat="1" ht="15.75" customHeight="1" x14ac:dyDescent="0.3">
      <c r="A37" s="30"/>
      <c r="B37" s="32" t="s">
        <v>42</v>
      </c>
      <c r="C37" s="20"/>
      <c r="D37" s="19"/>
      <c r="E37" s="31"/>
      <c r="F37" s="31"/>
      <c r="G37" s="31"/>
      <c r="H37" s="31"/>
      <c r="I37" s="13"/>
    </row>
    <row r="38" spans="1:10" s="3" customFormat="1" ht="15.75" customHeight="1" x14ac:dyDescent="0.25">
      <c r="B38" s="32" t="s">
        <v>43</v>
      </c>
      <c r="C38" s="6"/>
    </row>
    <row r="39" spans="1:10" s="3" customFormat="1" ht="15.75" customHeight="1" x14ac:dyDescent="0.25">
      <c r="B39" s="33" t="s">
        <v>44</v>
      </c>
      <c r="C39" s="6"/>
    </row>
    <row r="40" spans="1:10" s="3" customFormat="1" ht="15.75" customHeight="1" x14ac:dyDescent="0.25">
      <c r="B40" s="32" t="s">
        <v>61</v>
      </c>
      <c r="C40" s="6"/>
    </row>
    <row r="41" spans="1:10" s="3" customFormat="1" ht="15.75" customHeight="1" x14ac:dyDescent="0.25">
      <c r="B41" s="32" t="s">
        <v>103</v>
      </c>
      <c r="C41" s="6"/>
    </row>
    <row r="42" spans="1:10" s="3" customFormat="1" ht="8.4" customHeight="1" x14ac:dyDescent="0.25">
      <c r="C42" s="6"/>
    </row>
    <row r="43" spans="1:10" s="35" customFormat="1" ht="15.75" customHeight="1" x14ac:dyDescent="0.25">
      <c r="A43" s="74" t="s">
        <v>106</v>
      </c>
      <c r="B43" s="74"/>
      <c r="C43" s="74"/>
      <c r="D43" s="74"/>
      <c r="E43" s="74"/>
      <c r="F43" s="74" t="s">
        <v>48</v>
      </c>
      <c r="G43" s="74"/>
      <c r="H43" s="74"/>
      <c r="I43" s="74"/>
      <c r="J43" s="74"/>
    </row>
    <row r="44" spans="1:10" s="35" customFormat="1" ht="30" customHeight="1" x14ac:dyDescent="0.25">
      <c r="A44" s="71" t="s">
        <v>49</v>
      </c>
      <c r="B44" s="71"/>
      <c r="C44" s="71"/>
      <c r="D44" s="71"/>
      <c r="E44" s="71"/>
      <c r="F44" s="72"/>
      <c r="G44" s="72"/>
      <c r="H44" s="72"/>
      <c r="I44" s="72"/>
      <c r="J44" s="72"/>
    </row>
    <row r="45" spans="1:10" s="35" customFormat="1" ht="15.75" customHeight="1" x14ac:dyDescent="0.25">
      <c r="A45" s="73" t="s">
        <v>50</v>
      </c>
      <c r="B45" s="73"/>
      <c r="C45" s="73"/>
      <c r="D45" s="73"/>
      <c r="E45" s="73"/>
      <c r="F45" s="73" t="s">
        <v>51</v>
      </c>
      <c r="G45" s="73"/>
      <c r="H45" s="73"/>
      <c r="I45" s="73"/>
      <c r="J45" s="73"/>
    </row>
    <row r="46" spans="1:10" s="35" customFormat="1" ht="15.75" customHeight="1" x14ac:dyDescent="0.3">
      <c r="A46" s="37"/>
    </row>
    <row r="47" spans="1:10" s="35" customFormat="1" ht="15.75" customHeight="1" x14ac:dyDescent="0.3">
      <c r="A47" s="37"/>
    </row>
    <row r="48" spans="1:10" s="35" customFormat="1" ht="15.75" customHeight="1" x14ac:dyDescent="0.3">
      <c r="A48" s="37"/>
    </row>
    <row r="49" spans="1:10" s="35" customFormat="1" ht="15.75" customHeight="1" x14ac:dyDescent="0.3">
      <c r="A49" s="37"/>
    </row>
    <row r="50" spans="1:10" s="35" customFormat="1" ht="15.75" customHeight="1" x14ac:dyDescent="0.3">
      <c r="A50" s="37"/>
    </row>
    <row r="51" spans="1:10" s="35" customFormat="1" ht="15.75" customHeight="1" x14ac:dyDescent="0.3">
      <c r="A51" s="37"/>
    </row>
    <row r="52" spans="1:10" s="40" customFormat="1" ht="15.75" customHeight="1" x14ac:dyDescent="0.3">
      <c r="A52" s="38"/>
      <c r="B52" s="39"/>
    </row>
    <row r="53" spans="1:10" s="3" customFormat="1" ht="15.75" customHeight="1" x14ac:dyDescent="0.25">
      <c r="A53" s="74" t="s">
        <v>52</v>
      </c>
      <c r="B53" s="74"/>
      <c r="C53" s="74"/>
      <c r="D53" s="74"/>
      <c r="E53" s="74"/>
      <c r="F53" s="74" t="s">
        <v>52</v>
      </c>
      <c r="G53" s="74"/>
      <c r="H53" s="74"/>
      <c r="I53" s="74"/>
      <c r="J53" s="74"/>
    </row>
    <row r="54" spans="1:10" s="3" customFormat="1" ht="10.8" customHeight="1" x14ac:dyDescent="0.25">
      <c r="A54" s="34"/>
      <c r="B54" s="34"/>
      <c r="C54" s="34"/>
      <c r="D54" s="34"/>
      <c r="E54" s="34"/>
      <c r="F54" s="34"/>
      <c r="G54" s="34"/>
      <c r="H54" s="34"/>
      <c r="I54" s="34"/>
      <c r="J54" s="34"/>
    </row>
    <row r="55" spans="1:10" s="3" customFormat="1" ht="13.8" x14ac:dyDescent="0.25">
      <c r="A55" s="70" t="s">
        <v>53</v>
      </c>
      <c r="B55" s="70"/>
      <c r="C55" s="70"/>
      <c r="D55" s="70"/>
      <c r="E55" s="70"/>
      <c r="F55" s="70"/>
      <c r="G55" s="70"/>
      <c r="H55" s="70"/>
      <c r="I55" s="70"/>
      <c r="J55" s="70"/>
    </row>
    <row r="56" spans="1:10" s="3" customFormat="1" ht="13.8" x14ac:dyDescent="0.25">
      <c r="C56" s="6"/>
    </row>
    <row r="57" spans="1:10" s="3" customFormat="1" ht="13.8" x14ac:dyDescent="0.25">
      <c r="C57" s="6"/>
    </row>
    <row r="58" spans="1:10" s="3" customFormat="1" ht="13.8" x14ac:dyDescent="0.25">
      <c r="C58" s="6"/>
    </row>
    <row r="59" spans="1:10" s="3" customFormat="1" ht="13.8" x14ac:dyDescent="0.25">
      <c r="C59" s="6"/>
    </row>
    <row r="60" spans="1:10" s="3" customFormat="1" ht="13.8" x14ac:dyDescent="0.25">
      <c r="C60" s="6"/>
    </row>
  </sheetData>
  <mergeCells count="57">
    <mergeCell ref="A32:B32"/>
    <mergeCell ref="E32:F32"/>
    <mergeCell ref="I32:J32"/>
    <mergeCell ref="A43:E43"/>
    <mergeCell ref="F43:J43"/>
    <mergeCell ref="A33:B33"/>
    <mergeCell ref="E33:F33"/>
    <mergeCell ref="I33:J33"/>
    <mergeCell ref="B35:F35"/>
    <mergeCell ref="I35:J35"/>
    <mergeCell ref="E21:F21"/>
    <mergeCell ref="I21:J21"/>
    <mergeCell ref="A23:B23"/>
    <mergeCell ref="E23:F23"/>
    <mergeCell ref="I23:J23"/>
    <mergeCell ref="A22:B22"/>
    <mergeCell ref="E22:F22"/>
    <mergeCell ref="I22:J22"/>
    <mergeCell ref="A21:B21"/>
    <mergeCell ref="A44:E44"/>
    <mergeCell ref="A55:J55"/>
    <mergeCell ref="F53:J53"/>
    <mergeCell ref="A53:E53"/>
    <mergeCell ref="F44:J44"/>
    <mergeCell ref="F45:J45"/>
    <mergeCell ref="A45:E45"/>
    <mergeCell ref="A30:B30"/>
    <mergeCell ref="E30:F30"/>
    <mergeCell ref="I30:J30"/>
    <mergeCell ref="A31:B31"/>
    <mergeCell ref="E31:F31"/>
    <mergeCell ref="I31:J31"/>
    <mergeCell ref="I27:J27"/>
    <mergeCell ref="A28:B28"/>
    <mergeCell ref="E28:F28"/>
    <mergeCell ref="I28:J28"/>
    <mergeCell ref="A29:B29"/>
    <mergeCell ref="E29:F29"/>
    <mergeCell ref="I29:J29"/>
    <mergeCell ref="A25:B25"/>
    <mergeCell ref="E25:F25"/>
    <mergeCell ref="I25:J25"/>
    <mergeCell ref="A24:B24"/>
    <mergeCell ref="E24:F24"/>
    <mergeCell ref="I24:J24"/>
    <mergeCell ref="I20:J20"/>
    <mergeCell ref="B1:J2"/>
    <mergeCell ref="B3:J3"/>
    <mergeCell ref="B4:J4"/>
    <mergeCell ref="B5:J5"/>
    <mergeCell ref="C6:F6"/>
    <mergeCell ref="A7:J7"/>
    <mergeCell ref="A8:J8"/>
    <mergeCell ref="A15:F15"/>
    <mergeCell ref="I15:J15"/>
    <mergeCell ref="E17:F17"/>
    <mergeCell ref="E18:F18"/>
  </mergeCells>
  <pageMargins left="0.4" right="0.3" top="0.4" bottom="0.25" header="0.3" footer="0.3"/>
  <pageSetup scale="97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B6B96-F383-4AC8-8160-A9A461BD2792}">
  <sheetPr>
    <pageSetUpPr fitToPage="1"/>
  </sheetPr>
  <dimension ref="A1:J46"/>
  <sheetViews>
    <sheetView tabSelected="1" view="pageBreakPreview" zoomScaleNormal="100" zoomScaleSheetLayoutView="100" workbookViewId="0">
      <selection activeCell="F34" sqref="F34:J34"/>
    </sheetView>
  </sheetViews>
  <sheetFormatPr defaultColWidth="9.109375" defaultRowHeight="15.6" x14ac:dyDescent="0.3"/>
  <cols>
    <col min="1" max="1" width="12.88671875" style="1" customWidth="1"/>
    <col min="2" max="2" width="13.5546875" style="1" customWidth="1"/>
    <col min="3" max="3" width="8.109375" style="41" customWidth="1"/>
    <col min="4" max="4" width="9.109375" style="1" customWidth="1"/>
    <col min="5" max="5" width="7" style="1" customWidth="1"/>
    <col min="6" max="6" width="2.5546875" style="1" customWidth="1"/>
    <col min="7" max="7" width="10.6640625" style="1" customWidth="1"/>
    <col min="8" max="8" width="12.77734375" style="1" customWidth="1"/>
    <col min="9" max="9" width="11.33203125" style="1" customWidth="1"/>
    <col min="10" max="10" width="14.33203125" style="1" customWidth="1"/>
    <col min="11" max="11" width="10.44140625" style="1" bestFit="1" customWidth="1"/>
    <col min="12" max="13" width="14" style="1" bestFit="1" customWidth="1"/>
    <col min="14" max="16384" width="9.109375" style="1"/>
  </cols>
  <sheetData>
    <row r="1" spans="1:10" ht="15.75" customHeight="1" x14ac:dyDescent="0.3">
      <c r="B1" s="49" t="s">
        <v>0</v>
      </c>
      <c r="C1" s="49"/>
      <c r="D1" s="49"/>
      <c r="E1" s="49"/>
      <c r="F1" s="49"/>
      <c r="G1" s="49"/>
      <c r="H1" s="49"/>
      <c r="I1" s="49"/>
      <c r="J1" s="49"/>
    </row>
    <row r="2" spans="1:10" ht="11.4" customHeight="1" x14ac:dyDescent="0.3">
      <c r="B2" s="49"/>
      <c r="C2" s="49"/>
      <c r="D2" s="49"/>
      <c r="E2" s="49"/>
      <c r="F2" s="49"/>
      <c r="G2" s="49"/>
      <c r="H2" s="49"/>
      <c r="I2" s="49"/>
      <c r="J2" s="49"/>
    </row>
    <row r="3" spans="1:10" ht="15.75" customHeight="1" x14ac:dyDescent="0.3">
      <c r="B3" s="50" t="s">
        <v>1</v>
      </c>
      <c r="C3" s="50"/>
      <c r="D3" s="50"/>
      <c r="E3" s="50"/>
      <c r="F3" s="50"/>
      <c r="G3" s="50"/>
      <c r="H3" s="50"/>
      <c r="I3" s="50"/>
      <c r="J3" s="50"/>
    </row>
    <row r="4" spans="1:10" ht="19.8" customHeight="1" x14ac:dyDescent="0.35">
      <c r="B4" s="51" t="s">
        <v>2</v>
      </c>
      <c r="C4" s="51"/>
      <c r="D4" s="51"/>
      <c r="E4" s="51"/>
      <c r="F4" s="51"/>
      <c r="G4" s="51"/>
      <c r="H4" s="51"/>
      <c r="I4" s="51"/>
      <c r="J4" s="51"/>
    </row>
    <row r="5" spans="1:10" ht="19.5" customHeight="1" thickBot="1" x14ac:dyDescent="0.35">
      <c r="A5" s="2"/>
      <c r="B5" s="52" t="s">
        <v>94</v>
      </c>
      <c r="C5" s="52"/>
      <c r="D5" s="52"/>
      <c r="E5" s="52"/>
      <c r="F5" s="52"/>
      <c r="G5" s="52"/>
      <c r="H5" s="52"/>
      <c r="I5" s="52"/>
      <c r="J5" s="52"/>
    </row>
    <row r="6" spans="1:10" s="3" customFormat="1" ht="9.75" customHeight="1" thickTop="1" x14ac:dyDescent="0.3">
      <c r="C6" s="53"/>
      <c r="D6" s="54"/>
      <c r="E6" s="54"/>
      <c r="F6" s="54"/>
    </row>
    <row r="7" spans="1:10" s="3" customFormat="1" ht="18.600000000000001" customHeight="1" x14ac:dyDescent="0.35">
      <c r="A7" s="55" t="s">
        <v>3</v>
      </c>
      <c r="B7" s="55"/>
      <c r="C7" s="55"/>
      <c r="D7" s="55"/>
      <c r="E7" s="55"/>
      <c r="F7" s="55"/>
      <c r="G7" s="55"/>
      <c r="H7" s="55"/>
      <c r="I7" s="55"/>
      <c r="J7" s="55"/>
    </row>
    <row r="8" spans="1:10" s="3" customFormat="1" ht="15.9" customHeight="1" x14ac:dyDescent="0.25">
      <c r="A8" s="56" t="s">
        <v>4</v>
      </c>
      <c r="B8" s="56"/>
      <c r="C8" s="56"/>
      <c r="D8" s="56"/>
      <c r="E8" s="56"/>
      <c r="F8" s="56"/>
      <c r="G8" s="56"/>
      <c r="H8" s="56"/>
      <c r="I8" s="56"/>
      <c r="J8" s="56"/>
    </row>
    <row r="9" spans="1:10" s="3" customFormat="1" ht="6" customHeight="1" x14ac:dyDescent="0.25">
      <c r="A9" s="4"/>
      <c r="B9" s="4"/>
      <c r="C9" s="5"/>
      <c r="D9" s="4"/>
      <c r="E9" s="4"/>
      <c r="F9" s="4"/>
      <c r="G9" s="4"/>
      <c r="H9" s="4"/>
      <c r="I9" s="4"/>
      <c r="J9" s="4"/>
    </row>
    <row r="10" spans="1:10" s="3" customFormat="1" ht="15.9" customHeight="1" x14ac:dyDescent="0.25">
      <c r="A10" s="3" t="s">
        <v>5</v>
      </c>
      <c r="C10" s="6"/>
      <c r="G10" s="7"/>
    </row>
    <row r="11" spans="1:10" s="3" customFormat="1" ht="15.9" customHeight="1" x14ac:dyDescent="0.25">
      <c r="A11" s="3" t="s">
        <v>6</v>
      </c>
      <c r="C11" s="6"/>
      <c r="G11" s="7"/>
    </row>
    <row r="12" spans="1:10" s="3" customFormat="1" ht="6.6" customHeight="1" x14ac:dyDescent="0.25">
      <c r="C12" s="6"/>
    </row>
    <row r="13" spans="1:10" s="3" customFormat="1" ht="15.9" customHeight="1" x14ac:dyDescent="0.25">
      <c r="A13" s="3" t="s">
        <v>7</v>
      </c>
      <c r="C13" s="6"/>
    </row>
    <row r="14" spans="1:10" s="3" customFormat="1" ht="15.9" customHeight="1" x14ac:dyDescent="0.25">
      <c r="A14" s="3" t="s">
        <v>8</v>
      </c>
      <c r="C14" s="6"/>
    </row>
    <row r="15" spans="1:10" s="3" customFormat="1" ht="9" customHeight="1" x14ac:dyDescent="0.25">
      <c r="A15" s="25"/>
      <c r="B15" s="25"/>
      <c r="C15" s="20"/>
      <c r="D15" s="19"/>
      <c r="E15" s="21"/>
      <c r="F15" s="21"/>
      <c r="G15" s="21"/>
      <c r="H15" s="21"/>
      <c r="I15" s="19"/>
      <c r="J15" s="19"/>
    </row>
    <row r="16" spans="1:10" s="3" customFormat="1" ht="15" customHeight="1" x14ac:dyDescent="0.25">
      <c r="A16" s="9" t="s">
        <v>55</v>
      </c>
      <c r="B16" s="19"/>
      <c r="C16" s="20"/>
      <c r="D16" s="19"/>
      <c r="E16" s="21"/>
      <c r="F16" s="21"/>
      <c r="G16" s="21"/>
      <c r="H16" s="21"/>
      <c r="I16" s="77" t="s">
        <v>21</v>
      </c>
      <c r="J16" s="77"/>
    </row>
    <row r="17" spans="1:10" s="3" customFormat="1" ht="15" customHeight="1" x14ac:dyDescent="0.25">
      <c r="A17" s="66" t="s">
        <v>28</v>
      </c>
      <c r="B17" s="67"/>
      <c r="C17" s="26">
        <v>12.1</v>
      </c>
      <c r="D17" s="10" t="s">
        <v>19</v>
      </c>
      <c r="E17" s="68">
        <v>10</v>
      </c>
      <c r="F17" s="75"/>
      <c r="G17" s="11">
        <f>C17*E17</f>
        <v>121</v>
      </c>
      <c r="H17" s="16">
        <f>G17*26000*1.08</f>
        <v>3397680</v>
      </c>
      <c r="I17" s="76"/>
      <c r="J17" s="76"/>
    </row>
    <row r="18" spans="1:10" s="3" customFormat="1" ht="15" customHeight="1" x14ac:dyDescent="0.25">
      <c r="A18" s="66" t="s">
        <v>29</v>
      </c>
      <c r="B18" s="67"/>
      <c r="C18" s="23">
        <f>C17</f>
        <v>12.1</v>
      </c>
      <c r="D18" s="10" t="s">
        <v>19</v>
      </c>
      <c r="E18" s="68">
        <v>5</v>
      </c>
      <c r="F18" s="75"/>
      <c r="G18" s="11">
        <f t="shared" ref="G18:G23" si="0">C18*E18</f>
        <v>60.5</v>
      </c>
      <c r="H18" s="16">
        <f t="shared" ref="H18:H21" si="1">G18*26000*1.08</f>
        <v>1698840</v>
      </c>
      <c r="I18" s="76"/>
      <c r="J18" s="76"/>
    </row>
    <row r="19" spans="1:10" s="3" customFormat="1" ht="15" customHeight="1" x14ac:dyDescent="0.25">
      <c r="A19" s="66" t="s">
        <v>30</v>
      </c>
      <c r="B19" s="67"/>
      <c r="C19" s="23">
        <v>12.1</v>
      </c>
      <c r="D19" s="10" t="s">
        <v>19</v>
      </c>
      <c r="E19" s="68">
        <v>23</v>
      </c>
      <c r="F19" s="75"/>
      <c r="G19" s="11">
        <f t="shared" si="0"/>
        <v>278.3</v>
      </c>
      <c r="H19" s="16">
        <f t="shared" si="1"/>
        <v>7814664.0000000009</v>
      </c>
      <c r="I19" s="76"/>
      <c r="J19" s="76"/>
    </row>
    <row r="20" spans="1:10" s="3" customFormat="1" ht="15" customHeight="1" x14ac:dyDescent="0.25">
      <c r="A20" s="66" t="s">
        <v>31</v>
      </c>
      <c r="B20" s="67"/>
      <c r="C20" s="23">
        <f>C18</f>
        <v>12.1</v>
      </c>
      <c r="D20" s="10" t="s">
        <v>19</v>
      </c>
      <c r="E20" s="68">
        <v>5</v>
      </c>
      <c r="F20" s="75"/>
      <c r="G20" s="11">
        <f t="shared" si="0"/>
        <v>60.5</v>
      </c>
      <c r="H20" s="16">
        <f t="shared" si="1"/>
        <v>1698840</v>
      </c>
      <c r="I20" s="76"/>
      <c r="J20" s="76"/>
    </row>
    <row r="21" spans="1:10" s="3" customFormat="1" ht="15" customHeight="1" x14ac:dyDescent="0.25">
      <c r="A21" s="66" t="s">
        <v>32</v>
      </c>
      <c r="B21" s="67"/>
      <c r="C21" s="23">
        <v>1</v>
      </c>
      <c r="D21" s="10" t="s">
        <v>33</v>
      </c>
      <c r="E21" s="68">
        <v>30</v>
      </c>
      <c r="F21" s="75"/>
      <c r="G21" s="11">
        <f t="shared" si="0"/>
        <v>30</v>
      </c>
      <c r="H21" s="16">
        <f t="shared" si="1"/>
        <v>842400</v>
      </c>
      <c r="I21" s="76"/>
      <c r="J21" s="76"/>
    </row>
    <row r="22" spans="1:10" s="3" customFormat="1" ht="15" customHeight="1" x14ac:dyDescent="0.25">
      <c r="A22" s="66" t="s">
        <v>34</v>
      </c>
      <c r="B22" s="67"/>
      <c r="C22" s="23">
        <v>1</v>
      </c>
      <c r="D22" s="10" t="s">
        <v>35</v>
      </c>
      <c r="E22" s="68">
        <v>32</v>
      </c>
      <c r="F22" s="69"/>
      <c r="G22" s="24">
        <f t="shared" si="0"/>
        <v>32</v>
      </c>
      <c r="H22" s="16">
        <v>880000</v>
      </c>
      <c r="I22" s="58" t="s">
        <v>36</v>
      </c>
      <c r="J22" s="59"/>
    </row>
    <row r="23" spans="1:10" s="3" customFormat="1" ht="30" customHeight="1" x14ac:dyDescent="0.25">
      <c r="A23" s="66" t="s">
        <v>37</v>
      </c>
      <c r="B23" s="67"/>
      <c r="C23" s="23">
        <v>1</v>
      </c>
      <c r="D23" s="10" t="s">
        <v>24</v>
      </c>
      <c r="E23" s="68">
        <v>100</v>
      </c>
      <c r="F23" s="69"/>
      <c r="G23" s="24">
        <f t="shared" si="0"/>
        <v>100</v>
      </c>
      <c r="H23" s="16">
        <f>G23*26000*1.08</f>
        <v>2808000</v>
      </c>
      <c r="I23" s="58" t="s">
        <v>38</v>
      </c>
      <c r="J23" s="59"/>
    </row>
    <row r="24" spans="1:10" s="3" customFormat="1" ht="7.2" customHeight="1" x14ac:dyDescent="0.25">
      <c r="A24" s="25"/>
      <c r="B24" s="25"/>
      <c r="C24" s="20"/>
      <c r="D24" s="19"/>
      <c r="E24" s="21"/>
      <c r="F24" s="21"/>
      <c r="G24" s="21"/>
      <c r="H24" s="21"/>
      <c r="I24" s="19"/>
      <c r="J24" s="19"/>
    </row>
    <row r="25" spans="1:10" s="3" customFormat="1" ht="15.9" customHeight="1" x14ac:dyDescent="0.25">
      <c r="A25" s="27" t="s">
        <v>39</v>
      </c>
      <c r="B25" s="64" t="s">
        <v>54</v>
      </c>
      <c r="C25" s="64"/>
      <c r="D25" s="64"/>
      <c r="E25" s="64"/>
      <c r="F25" s="64"/>
      <c r="G25" s="28">
        <f>SUM(G15:G23)</f>
        <v>682.3</v>
      </c>
      <c r="H25" s="29">
        <f>SUM(H15:H23)</f>
        <v>19140424</v>
      </c>
      <c r="I25" s="65" t="s">
        <v>40</v>
      </c>
      <c r="J25" s="65"/>
    </row>
    <row r="26" spans="1:10" s="3" customFormat="1" ht="15.75" customHeight="1" x14ac:dyDescent="0.3">
      <c r="A26" s="30" t="s">
        <v>41</v>
      </c>
      <c r="C26" s="20"/>
      <c r="D26" s="19"/>
      <c r="E26" s="31"/>
      <c r="F26" s="31"/>
      <c r="G26" s="31"/>
      <c r="H26" s="31"/>
    </row>
    <row r="27" spans="1:10" s="3" customFormat="1" ht="15.75" customHeight="1" x14ac:dyDescent="0.3">
      <c r="A27" s="30"/>
      <c r="B27" s="32" t="s">
        <v>42</v>
      </c>
      <c r="C27" s="20"/>
      <c r="D27" s="19"/>
      <c r="E27" s="31"/>
      <c r="F27" s="31"/>
      <c r="G27" s="31"/>
      <c r="H27" s="31"/>
    </row>
    <row r="28" spans="1:10" s="3" customFormat="1" ht="15.75" customHeight="1" x14ac:dyDescent="0.25">
      <c r="B28" s="32" t="s">
        <v>43</v>
      </c>
      <c r="C28" s="6"/>
    </row>
    <row r="29" spans="1:10" s="3" customFormat="1" ht="15.75" customHeight="1" x14ac:dyDescent="0.25">
      <c r="B29" s="33" t="s">
        <v>44</v>
      </c>
      <c r="C29" s="6"/>
    </row>
    <row r="30" spans="1:10" s="3" customFormat="1" ht="15.75" customHeight="1" x14ac:dyDescent="0.25">
      <c r="B30" s="32" t="s">
        <v>45</v>
      </c>
      <c r="C30" s="6"/>
    </row>
    <row r="31" spans="1:10" s="3" customFormat="1" ht="15.75" customHeight="1" x14ac:dyDescent="0.25">
      <c r="B31" s="32" t="s">
        <v>46</v>
      </c>
      <c r="C31" s="6"/>
    </row>
    <row r="32" spans="1:10" s="3" customFormat="1" ht="8.4" customHeight="1" x14ac:dyDescent="0.25">
      <c r="C32" s="6"/>
    </row>
    <row r="33" spans="1:10" s="35" customFormat="1" ht="15.75" customHeight="1" x14ac:dyDescent="0.25">
      <c r="A33" s="74" t="s">
        <v>47</v>
      </c>
      <c r="B33" s="74"/>
      <c r="C33" s="74"/>
      <c r="D33" s="74"/>
      <c r="F33" s="36"/>
      <c r="G33" s="74" t="s">
        <v>48</v>
      </c>
      <c r="H33" s="74"/>
      <c r="I33" s="74"/>
      <c r="J33" s="74"/>
    </row>
    <row r="34" spans="1:10" s="35" customFormat="1" ht="30" customHeight="1" x14ac:dyDescent="0.25">
      <c r="A34" s="71" t="s">
        <v>49</v>
      </c>
      <c r="B34" s="71"/>
      <c r="C34" s="71"/>
      <c r="D34" s="71"/>
      <c r="E34" s="71"/>
      <c r="F34" s="71"/>
      <c r="G34" s="71"/>
      <c r="H34" s="71"/>
      <c r="I34" s="71"/>
      <c r="J34" s="71"/>
    </row>
    <row r="35" spans="1:10" s="35" customFormat="1" ht="15.75" customHeight="1" x14ac:dyDescent="0.25">
      <c r="A35" s="73" t="s">
        <v>50</v>
      </c>
      <c r="B35" s="73"/>
      <c r="C35" s="73"/>
      <c r="D35" s="73"/>
      <c r="E35" s="73"/>
      <c r="F35" s="73" t="s">
        <v>51</v>
      </c>
      <c r="G35" s="73"/>
      <c r="H35" s="73"/>
      <c r="I35" s="73"/>
      <c r="J35" s="73"/>
    </row>
    <row r="36" spans="1:10" s="35" customFormat="1" ht="15.75" customHeight="1" x14ac:dyDescent="0.3">
      <c r="A36" s="37"/>
    </row>
    <row r="37" spans="1:10" s="35" customFormat="1" ht="15.75" customHeight="1" x14ac:dyDescent="0.3">
      <c r="A37" s="37"/>
    </row>
    <row r="38" spans="1:10" s="35" customFormat="1" ht="15.75" customHeight="1" x14ac:dyDescent="0.3">
      <c r="A38" s="37"/>
    </row>
    <row r="39" spans="1:10" s="40" customFormat="1" ht="15.75" customHeight="1" x14ac:dyDescent="0.3">
      <c r="A39" s="38"/>
      <c r="B39" s="39"/>
    </row>
    <row r="40" spans="1:10" s="3" customFormat="1" ht="15.75" customHeight="1" x14ac:dyDescent="0.25">
      <c r="A40" s="74" t="s">
        <v>52</v>
      </c>
      <c r="B40" s="74"/>
      <c r="C40" s="74"/>
      <c r="D40" s="74"/>
      <c r="E40" s="74"/>
      <c r="F40" s="74" t="s">
        <v>52</v>
      </c>
      <c r="G40" s="74"/>
      <c r="H40" s="74"/>
      <c r="I40" s="74"/>
      <c r="J40" s="74"/>
    </row>
    <row r="41" spans="1:10" s="3" customFormat="1" ht="13.8" x14ac:dyDescent="0.25">
      <c r="A41" s="70" t="s">
        <v>53</v>
      </c>
      <c r="B41" s="70"/>
      <c r="C41" s="70"/>
      <c r="D41" s="70"/>
      <c r="E41" s="70"/>
      <c r="F41" s="70"/>
      <c r="G41" s="70"/>
      <c r="H41" s="70"/>
      <c r="I41" s="70"/>
      <c r="J41" s="70"/>
    </row>
    <row r="42" spans="1:10" s="3" customFormat="1" ht="13.8" x14ac:dyDescent="0.25">
      <c r="C42" s="6"/>
    </row>
    <row r="43" spans="1:10" s="3" customFormat="1" ht="13.8" x14ac:dyDescent="0.25">
      <c r="C43" s="6"/>
    </row>
    <row r="44" spans="1:10" s="3" customFormat="1" ht="13.8" x14ac:dyDescent="0.25">
      <c r="C44" s="6"/>
    </row>
    <row r="45" spans="1:10" s="3" customFormat="1" ht="13.8" x14ac:dyDescent="0.25">
      <c r="C45" s="6"/>
    </row>
    <row r="46" spans="1:10" s="3" customFormat="1" ht="13.8" x14ac:dyDescent="0.25">
      <c r="C46" s="6"/>
    </row>
  </sheetData>
  <mergeCells count="40">
    <mergeCell ref="A41:J41"/>
    <mergeCell ref="F40:J40"/>
    <mergeCell ref="F34:J34"/>
    <mergeCell ref="A40:E40"/>
    <mergeCell ref="F35:J35"/>
    <mergeCell ref="A35:E35"/>
    <mergeCell ref="B25:F25"/>
    <mergeCell ref="I25:J25"/>
    <mergeCell ref="A33:D33"/>
    <mergeCell ref="G33:J33"/>
    <mergeCell ref="A34:E34"/>
    <mergeCell ref="A22:B22"/>
    <mergeCell ref="E22:F22"/>
    <mergeCell ref="I22:J22"/>
    <mergeCell ref="A23:B23"/>
    <mergeCell ref="E23:F23"/>
    <mergeCell ref="I23:J23"/>
    <mergeCell ref="A20:B20"/>
    <mergeCell ref="E20:F20"/>
    <mergeCell ref="I20:J20"/>
    <mergeCell ref="A21:B21"/>
    <mergeCell ref="E21:F21"/>
    <mergeCell ref="I21:J21"/>
    <mergeCell ref="A18:B18"/>
    <mergeCell ref="E18:F18"/>
    <mergeCell ref="I18:J18"/>
    <mergeCell ref="A19:B19"/>
    <mergeCell ref="E19:F19"/>
    <mergeCell ref="I19:J19"/>
    <mergeCell ref="I16:J16"/>
    <mergeCell ref="A17:B17"/>
    <mergeCell ref="E17:F17"/>
    <mergeCell ref="I17:J17"/>
    <mergeCell ref="A8:J8"/>
    <mergeCell ref="A7:J7"/>
    <mergeCell ref="B1:J2"/>
    <mergeCell ref="B3:J3"/>
    <mergeCell ref="B4:J4"/>
    <mergeCell ref="B5:J5"/>
    <mergeCell ref="C6:F6"/>
  </mergeCells>
  <pageMargins left="0.4" right="0.3" top="0.4" bottom="0.25" header="0.3" footer="0.3"/>
  <pageSetup scale="9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FCA</vt:lpstr>
      <vt:lpstr>FOB</vt:lpstr>
      <vt:lpstr>EXW</vt:lpstr>
      <vt:lpstr>CIF</vt:lpstr>
      <vt:lpstr>CIF!Print_Area</vt:lpstr>
      <vt:lpstr>EXW!Print_Area</vt:lpstr>
      <vt:lpstr>FCA!Print_Area</vt:lpstr>
      <vt:lpstr>FOB!Print_Area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2026-09-16T10:06:03Z</cp:lastPrinted>
  <dcterms:created xsi:type="dcterms:W3CDTF">2025-06-26T04:24:17Z</dcterms:created>
  <dcterms:modified xsi:type="dcterms:W3CDTF">2026-10-09T09:50:47Z</dcterms:modified>
</cp:coreProperties>
</file>